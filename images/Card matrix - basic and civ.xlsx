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G:\My Drive\Boardgames\Bronz\files\"/>
    </mc:Choice>
  </mc:AlternateContent>
  <xr:revisionPtr revIDLastSave="0" documentId="13_ncr:1_{EC2C4BFD-3621-4BF9-9068-928CA1377292}" xr6:coauthVersionLast="47" xr6:coauthVersionMax="47" xr10:uidLastSave="{00000000-0000-0000-0000-000000000000}"/>
  <bookViews>
    <workbookView xWindow="-120" yWindow="-120" windowWidth="29040" windowHeight="15720" activeTab="1" xr2:uid="{25D4A008-E1B1-4383-B517-F518788535D9}"/>
  </bookViews>
  <sheets>
    <sheet name="Basic" sheetId="1" r:id="rId1"/>
    <sheet name="Civ" sheetId="2" r:id="rId2"/>
    <sheet name="Temple tokens" sheetId="4" r:id="rId3"/>
    <sheet name="City States" sheetId="3" r:id="rId4"/>
    <sheet name="Log Book"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4" l="1"/>
  <c r="H23" i="4"/>
  <c r="H24" i="4"/>
  <c r="H25" i="4"/>
  <c r="H22" i="4"/>
</calcChain>
</file>

<file path=xl/sharedStrings.xml><?xml version="1.0" encoding="utf-8"?>
<sst xmlns="http://schemas.openxmlformats.org/spreadsheetml/2006/main" count="610" uniqueCount="366">
  <si>
    <t>Military</t>
  </si>
  <si>
    <t>Trade</t>
  </si>
  <si>
    <t>Technology</t>
  </si>
  <si>
    <t>Royal</t>
  </si>
  <si>
    <t>2-3: Army. Fight.</t>
  </si>
  <si>
    <t>2-3: Army (x2).</t>
  </si>
  <si>
    <t>[]-1: Army. Pay 1G -&gt; Fight.</t>
  </si>
  <si>
    <t>4-5: Army. Fight. Pay 1G-Outpost.</t>
  </si>
  <si>
    <t>4-5: Army (x2). Discard 1 -&gt; 1VP.</t>
  </si>
  <si>
    <t>2-3: Army. Spy/Guard.</t>
  </si>
  <si>
    <t>4-5: Army. Return 1 Spy -&gt; 1VP.</t>
  </si>
  <si>
    <t>[]-1: Gain 1G.</t>
  </si>
  <si>
    <t>[]-1: Gain 1kn.</t>
  </si>
  <si>
    <t>[]-1: Draw 1.</t>
  </si>
  <si>
    <t>[]-1: Exile 1 -&gt; 1G and Draw 1.</t>
  </si>
  <si>
    <t>2-3: Gain 1G. Discard 1-&gt; 1G.</t>
  </si>
  <si>
    <t>2-3: Gain 1kn. Discard 1-&gt; 1kn.</t>
  </si>
  <si>
    <t>2-3: Draw 1 or Gain 1kn.</t>
  </si>
  <si>
    <t>2-3: Exile 1 -&gt; 1G and 1kn.</t>
  </si>
  <si>
    <t>4-5: Gain 1G. Exile 1 -&gt; 1G.</t>
  </si>
  <si>
    <t>4-5: Gain 1kn. Exile -&gt; 1kn.</t>
  </si>
  <si>
    <t>4-5: Draw 1 or Gain 1VP.</t>
  </si>
  <si>
    <t>4-5: Exile 1 -&gt; 1G and 1VP.</t>
  </si>
  <si>
    <t>[]-1: Gain 1G. Discard 1 -&gt; Take 1.</t>
  </si>
  <si>
    <t>2-3: Gain 1G. Take 1.</t>
  </si>
  <si>
    <t>4-5: Gain 1kn. Fight or 1VP.</t>
  </si>
  <si>
    <t>Return a Spy -&gt; trigger its effect +1G</t>
  </si>
  <si>
    <t>2-3: Gain 1kn. Spy/Guard</t>
  </si>
  <si>
    <t>4-5: Gain 1kn. Return 1 Spy -&gt; 1VP</t>
  </si>
  <si>
    <t>Have more Spies than Guards: 1VP</t>
  </si>
  <si>
    <t>[]-1: Return 1 Spy -&gt; 1kn</t>
  </si>
  <si>
    <t>2-3: Return 1 Spy -&gt; 1kn or 1VP</t>
  </si>
  <si>
    <t>4-5: Return 1 Spy -&gt; 1kn and 1VP</t>
  </si>
  <si>
    <t>Assyria</t>
  </si>
  <si>
    <t>Babylonia</t>
  </si>
  <si>
    <t>Egypt</t>
  </si>
  <si>
    <t>Atlantis</t>
  </si>
  <si>
    <t>Hittite</t>
  </si>
  <si>
    <t>[]-1: Army. Fight.</t>
  </si>
  <si>
    <t>2-3: Army. Fight. Pay 1G-Outpost.</t>
  </si>
  <si>
    <t>4-5: Army. Fight. Pay 1G -&gt; 1VP.</t>
  </si>
  <si>
    <t>[]-1: Army.</t>
  </si>
  <si>
    <t>2-3: Army or Fight.</t>
  </si>
  <si>
    <t>4-5: Army or Outpost.</t>
  </si>
  <si>
    <t>[]-1: Army. Discard 1 -&gt; Fight</t>
  </si>
  <si>
    <t>[]-1: Exile 1 -&gt; 1kn and Draw 1.</t>
  </si>
  <si>
    <t>4-5: Exile 1 -&gt; 1kn and 1VP.</t>
  </si>
  <si>
    <t>2-3: Exile 1 -&gt; 1kn and Take 1.</t>
  </si>
  <si>
    <t>2-3: Gain 1kn. Pay 1G -&gt; 1kn.</t>
  </si>
  <si>
    <t>[]-1: Pay 1G -&gt; 1kn</t>
  </si>
  <si>
    <t>2-3: Pay 1G -&gt; 1kn or Take 1</t>
  </si>
  <si>
    <t>4-5: Pay 1G -&gt; 1kn or 1VP</t>
  </si>
  <si>
    <t>4-5: Gain 1G. Exile 1 -&gt; 1kn.</t>
  </si>
  <si>
    <t>2-3: Gain 1kn. Pay 1G -&gt; 1kn or Outpost</t>
  </si>
  <si>
    <t>2-3: Exile 1 -&gt; 1G and Take 1.</t>
  </si>
  <si>
    <t>Military/Tech</t>
  </si>
  <si>
    <t>Trade/Tech</t>
  </si>
  <si>
    <t>Phoenicians</t>
  </si>
  <si>
    <t>Complexity: 2</t>
  </si>
  <si>
    <t>Complexity: 3</t>
  </si>
  <si>
    <t>Complexity: 1</t>
  </si>
  <si>
    <t>Complexity: 4?</t>
  </si>
  <si>
    <t>[]-1: Doom 1. Gain 2G.</t>
  </si>
  <si>
    <t>2-3: Doom 1. Gain 2G. Take 1</t>
  </si>
  <si>
    <t>4-5: Doom 1. Gain 2G. Take 1. 1VP</t>
  </si>
  <si>
    <t>[]-1: Discard 1-&gt; 1kn.</t>
  </si>
  <si>
    <t>4-5: Discard 1-&gt; 1kn. (x2). 1VP</t>
  </si>
  <si>
    <t>2-3: Discard 1-&gt; 1kn. (x2). Doom 1 -&gt; 1VP</t>
  </si>
  <si>
    <t>4-5: Take 1 or Gain 1VP.</t>
  </si>
  <si>
    <t>[]-1: Gain 1G. Discard 1 -&gt; Army/Fight</t>
  </si>
  <si>
    <t>2-3: Gain 1kn. Discard 1 -&gt; Army/Fight</t>
  </si>
  <si>
    <t>4-5: Gain 1VP. Discard 1 -&gt; Army/Fight</t>
  </si>
  <si>
    <t>Have more Military than Trade: Take 1.</t>
  </si>
  <si>
    <t>Culture</t>
  </si>
  <si>
    <t>Culture/Tech</t>
  </si>
  <si>
    <t>Play a non-tech card.</t>
  </si>
  <si>
    <t>Take 1 or Gain 1kn</t>
  </si>
  <si>
    <t>Take 1</t>
  </si>
  <si>
    <t>Play a non-tech card: If it starts a new column: Draw 1</t>
  </si>
  <si>
    <t>Core</t>
  </si>
  <si>
    <t>Set:</t>
  </si>
  <si>
    <t>Advanced</t>
  </si>
  <si>
    <t>Reveal [Yellow] or [trade]: Take 1</t>
  </si>
  <si>
    <t>Draw 1 or Pay 1G to Take 1.</t>
  </si>
  <si>
    <t>Reaction: Exhaust after you discard a card. Trigger its Bonus effect</t>
  </si>
  <si>
    <t>Pay 1kn: Draw a Temple Token from the supply</t>
  </si>
  <si>
    <t>Trigger the Bonus effect on a card in your Domain</t>
  </si>
  <si>
    <t>Discard 2: Gain 1VP (Limit 2 per game)</t>
  </si>
  <si>
    <t xml:space="preserve">Pay 1kn: Return a card to your hand </t>
  </si>
  <si>
    <t>Reaction: Pay 1G when you play a card to ignore its Suit</t>
  </si>
  <si>
    <t>Reaction: Pay 1G when you play a card to ignore its Colour</t>
  </si>
  <si>
    <t xml:space="preserve">Reaction: Pay 1G when you fight a Barbarian to put it on the knowledge track </t>
  </si>
  <si>
    <t>Reaction: After you fight with an army, remove it to gain Gain 1kn and 1G</t>
  </si>
  <si>
    <t>Pay 1kn: Exile a card from the market.</t>
  </si>
  <si>
    <t>Reaction: If you have 0 cards in your hand: Take 1 and Gain 2G</t>
  </si>
  <si>
    <t>Gain 1G or Discard 1-&gt; 2G</t>
  </si>
  <si>
    <t>Discard up to 3 cards. Draw that many +1.</t>
  </si>
  <si>
    <t>[]-1: Discard 1 -&gt; 2G or Draw 1.</t>
  </si>
  <si>
    <t>2-3: Discard 1 -&gt; 2G and Draw 1</t>
  </si>
  <si>
    <t>4-5: Discard 1 -&gt; 2G and Draw 1 (x2)</t>
  </si>
  <si>
    <t>[]-1: Exile 1 -&gt; Fight.</t>
  </si>
  <si>
    <t xml:space="preserve">2-3: Exile 1 -&gt; Fight and Gain 1G. </t>
  </si>
  <si>
    <t xml:space="preserve">4-5: Exile 1. -&gt; Fight and Gain 1kn. </t>
  </si>
  <si>
    <t>2-3: Gain 1G. Discard 1-&gt; 2G.</t>
  </si>
  <si>
    <t>4-5: Gain 1G. Exile 1 -&gt; 2G.</t>
  </si>
  <si>
    <t>[]-1: Discard 1 -&gt; 2G.</t>
  </si>
  <si>
    <t>2-3: Discard 1 -&gt; 2G or 1kn.</t>
  </si>
  <si>
    <t>4-5: Discard 1 -&gt; 2G or 1kn (x2).</t>
  </si>
  <si>
    <t>Effect</t>
  </si>
  <si>
    <t>Army (x2)</t>
  </si>
  <si>
    <t>Quantity (times)</t>
  </si>
  <si>
    <t>2kn</t>
  </si>
  <si>
    <t>2G</t>
  </si>
  <si>
    <t>Army/Fight</t>
  </si>
  <si>
    <t>Take 0 + 1VP</t>
  </si>
  <si>
    <t>1G + 1VP</t>
  </si>
  <si>
    <t>1G + 1kn + Draw 1</t>
  </si>
  <si>
    <t>Revised:</t>
  </si>
  <si>
    <t>Take 1 + 1G</t>
  </si>
  <si>
    <t>1kn + 1VP</t>
  </si>
  <si>
    <t>Draw 1 + 1VP</t>
  </si>
  <si>
    <t>1kn + 1G</t>
  </si>
  <si>
    <t>1kn + Draw 1</t>
  </si>
  <si>
    <t>1kn + Take 0</t>
  </si>
  <si>
    <t>1VP</t>
  </si>
  <si>
    <t>Take 1 or 1G</t>
  </si>
  <si>
    <t>Take 1 or 1kn</t>
  </si>
  <si>
    <t>Take 1 or Fight</t>
  </si>
  <si>
    <t>2 players:</t>
  </si>
  <si>
    <t>3 players</t>
  </si>
  <si>
    <t>4-players</t>
  </si>
  <si>
    <t>1player</t>
  </si>
  <si>
    <t xml:space="preserve">extra </t>
  </si>
  <si>
    <t>Tokens</t>
  </si>
  <si>
    <t>Total</t>
  </si>
  <si>
    <t>Copies</t>
  </si>
  <si>
    <t>Total:</t>
  </si>
  <si>
    <t>1G + Draw 1</t>
  </si>
  <si>
    <t>Take 0 (x2)</t>
  </si>
  <si>
    <t>Take 1 or Draw 1</t>
  </si>
  <si>
    <t>4-5: Gain 1G. Take 1. 1VP.</t>
  </si>
  <si>
    <t>?</t>
  </si>
  <si>
    <t>Draw 2. Discard 1</t>
  </si>
  <si>
    <t>1VP or Exile 1</t>
  </si>
  <si>
    <t>Standard Forced Effect for Royal cards</t>
  </si>
  <si>
    <t>Basic</t>
  </si>
  <si>
    <t>Spies</t>
  </si>
  <si>
    <t>Assassins</t>
  </si>
  <si>
    <t>Special rules:</t>
  </si>
  <si>
    <t>none</t>
  </si>
  <si>
    <t>Spies and Guards</t>
  </si>
  <si>
    <t>Assassins and Guards</t>
  </si>
  <si>
    <t>University</t>
  </si>
  <si>
    <t>New board VP</t>
  </si>
  <si>
    <t>Envoys</t>
  </si>
  <si>
    <t>Envoys and Guards</t>
  </si>
  <si>
    <t>Wizards</t>
  </si>
  <si>
    <t>Move a Guard to non-tech card and trigger</t>
  </si>
  <si>
    <t>If you have an Assassin on Suit:</t>
  </si>
  <si>
    <t>Have more Assassins than Guards: 1VP</t>
  </si>
  <si>
    <t>[]-1: Army. Pay 1G -&gt; Assassin/Guard.</t>
  </si>
  <si>
    <t>2-3: Army. Assassin/Guard.</t>
  </si>
  <si>
    <t>2-3: Gain 1G. Discard 1 -&gt; 2G or Take 1.</t>
  </si>
  <si>
    <t>4-5: Gain 1G. Exile 1 -&gt; 2G or Take 1.</t>
  </si>
  <si>
    <t>2-3: Gain 1kn. Assassin/Guard</t>
  </si>
  <si>
    <t xml:space="preserve">Move a Guard. If there is an Assassin on that new card, get 1 VP. Otherwise, Draw 1. </t>
  </si>
  <si>
    <t>An Assassin exiles. Get 1G</t>
  </si>
  <si>
    <t xml:space="preserve">4-5: Gain 1kn. An Assassin exiles. </t>
  </si>
  <si>
    <t>[]-1: An Assassin exiles  -&gt; 1kn</t>
  </si>
  <si>
    <t>2-3: An Assassin exiles  -&gt; 1kn or 1VP</t>
  </si>
  <si>
    <t>4-5: An Assassin exiles -&gt; 1kn and 1VP</t>
  </si>
  <si>
    <t>Minoans</t>
  </si>
  <si>
    <t>Their knowledge track is a massive labyrinth with barbarians, temples, Outpost places, and tunnels that lead to the surface</t>
  </si>
  <si>
    <t>[]-1: Exile 1 -&gt; 1kn and 1G.</t>
  </si>
  <si>
    <t>2-3: Exile 1 -&gt; 1kn and 2G.</t>
  </si>
  <si>
    <t>Ongoing: After you play [Red}: Gain 1kn (limit once per turn).</t>
  </si>
  <si>
    <t>Knowledge track - blind draw, 1G, temple tokens x4</t>
  </si>
  <si>
    <t>2-3: Gain 1kn. Discard 1 -&gt; Take 1.</t>
  </si>
  <si>
    <t>4-5: Gain 1VP. Discard 1 -&gt; 1VP.</t>
  </si>
  <si>
    <t>Ongoing: If you played [Blue] this turn: Gain 1kn.</t>
  </si>
  <si>
    <t>[]-1: Exile 1 -&gt; Take 1.</t>
  </si>
  <si>
    <t>2-3: Exile 1 -&gt; Take 1. Pay 1G -&gt; Outpost</t>
  </si>
  <si>
    <t>4-5: Exile 1 -&gt; Take 1. Pay 1G -&gt; 1VP</t>
  </si>
  <si>
    <t xml:space="preserve">Advanced </t>
  </si>
  <si>
    <t>[]-1: Army. Pay 1 -&gt; Army.</t>
  </si>
  <si>
    <t>[]-1: Army. Pay 1G -&gt; Spy/Guard.</t>
  </si>
  <si>
    <t>2-3: Gain 1G. Discard 1 -&gt; 1G and Take 1/2.</t>
  </si>
  <si>
    <t>4-5: Gain 1G. Exile 1 -&gt; 1G and Take 1/2.</t>
  </si>
  <si>
    <t>Ongoing: After you play a [Red]: Take 1/2.</t>
  </si>
  <si>
    <t>[]-1: Gain 1G. Discard 1 -&gt; Take 1/2.</t>
  </si>
  <si>
    <t>2-3: Draw 1 or Take 1/2.</t>
  </si>
  <si>
    <t>[]-1: Exile 1 -&gt; 1G and Take 1/2.</t>
  </si>
  <si>
    <t>Take 1 or Draw 1.</t>
  </si>
  <si>
    <t>Take 1.</t>
  </si>
  <si>
    <t>[]-1: Army. Pay  1G -&gt; Army.</t>
  </si>
  <si>
    <t>2-3: Army. Pay 1G -&gt; Fight.</t>
  </si>
  <si>
    <t xml:space="preserve">[]-1: Doom 1 -&gt; Take 0 and 1Vp. </t>
  </si>
  <si>
    <t>2-3: Doom 1 -&gt; Take 1/2 and 1VP.</t>
  </si>
  <si>
    <t xml:space="preserve">4-5: Doom 1 -&gt; Take 1 and 1VP. </t>
  </si>
  <si>
    <t>Revive 1. If you revived a [Crown]: Gain 1kn and 1G.</t>
  </si>
  <si>
    <t>Draw 1 or Revive 1.</t>
  </si>
  <si>
    <t>Draw 1 or Take 1/2.</t>
  </si>
  <si>
    <t>Discard 1: Army and Fight</t>
  </si>
  <si>
    <t>Bury 1: Take 3 blindly: Keep 1. Discard 1. Exile 1.</t>
  </si>
  <si>
    <t>Revive 1 or Take 1/2</t>
  </si>
  <si>
    <t>Reaction: When you make free action Pay 2G, get Army (x2) instead</t>
  </si>
  <si>
    <t>Revive 1 or Pay 1G to Take 1.</t>
  </si>
  <si>
    <t>Not sure about this one. Printed, to be tested</t>
  </si>
  <si>
    <t>Discard 1: Take 1 or Discard 1: Take 1/2 (x2)</t>
  </si>
  <si>
    <t>Pay 1G: Remove an army belonging to another player</t>
  </si>
  <si>
    <t>Pay 1G: Gain 1kn or Bury 1: Gain 1kn</t>
  </si>
  <si>
    <t>Pay 1G: Fight or Pay 1G: Army</t>
  </si>
  <si>
    <t>Take 1 or Take 1/2</t>
  </si>
  <si>
    <t>Revived:</t>
  </si>
  <si>
    <t>Army or Fight</t>
  </si>
  <si>
    <t>Draw 1 + 1G</t>
  </si>
  <si>
    <t>Revive 1 + 1G</t>
  </si>
  <si>
    <t>Draw 1 or Revive 1</t>
  </si>
  <si>
    <t>1kn or Take 1/2</t>
  </si>
  <si>
    <t>Take 1/2 or Draw 1</t>
  </si>
  <si>
    <t>Take 1/2 or Revive 1</t>
  </si>
  <si>
    <t>Spend 1kn: Revive any one card in your Discard. Shuffle your Discard</t>
  </si>
  <si>
    <t>Bury 1 -&gt; Trigger a discarded temple token</t>
  </si>
  <si>
    <t>Bury 1: army and Fight</t>
  </si>
  <si>
    <t>Spend 1kn: Search your deck for a CIV card and add it to your hand. Shuffle your Deck.</t>
  </si>
  <si>
    <t>Shoud be Bury 2</t>
  </si>
  <si>
    <t>If you own an Outpost: Draw 1 or Revive 1</t>
  </si>
  <si>
    <t>2-3: Gain 1G. Bury 1-&gt; 2G.</t>
  </si>
  <si>
    <t>2-3: Gain 1kn. Pay 1G-&gt; 1kn.</t>
  </si>
  <si>
    <t>End of turn: If you exiled a [Culture] card this turn: Gain 1kn.</t>
  </si>
  <si>
    <t>4-5: Army. Fight. Pay 1G -&gt;Exile 1.</t>
  </si>
  <si>
    <t>Doom 1-&gt; Gain 2G. Outpost.</t>
  </si>
  <si>
    <t>End of turn: If you played [ ]: Gain 1kn</t>
  </si>
  <si>
    <t>Ongoing: After you gain Doom: Tuck a non-Royal card (limit once per turn)</t>
  </si>
  <si>
    <t>[]-1: Return non-Tech card -&gt; Play a card.</t>
  </si>
  <si>
    <t>2-3: Return non-Tech card. Play a card. Doom 1 -&gt; 1VP</t>
  </si>
  <si>
    <t>4-5: Return non-Tech card. Play a card. 1VP.</t>
  </si>
  <si>
    <t xml:space="preserve">Bonus: Exile 1. If you exiled an Atlantis card: Reduce Doome by one. </t>
  </si>
  <si>
    <t>Ongoing: After you gain Doom: Gain 1kn or Take 1.</t>
  </si>
  <si>
    <t>4-5: Exile 1 -&gt; 1kn, 2G and 1VP.</t>
  </si>
  <si>
    <t>[]-1: Take 1/2 or Army.</t>
  </si>
  <si>
    <t>2-3: Take 1/2 or Fight.</t>
  </si>
  <si>
    <r>
      <t>Exile1. If [Assyrian]: 1VP</t>
    </r>
    <r>
      <rPr>
        <i/>
        <sz val="8"/>
        <color rgb="FFFF0000"/>
        <rFont val="Aptos Narrow"/>
        <family val="2"/>
        <scheme val="minor"/>
      </rPr>
      <t>.</t>
    </r>
  </si>
  <si>
    <t>4-5: Take 1/2 and Fight, or Gain 1VP</t>
  </si>
  <si>
    <t>Warlords</t>
  </si>
  <si>
    <t>When you defeat an army, discard a card from the market deck and gain reward based on colour (maybe if the colour match with the colours on your tableau). Probably effects that put new barbarians. There should be focus on gold, armies</t>
  </si>
  <si>
    <t>Settlers</t>
  </si>
  <si>
    <t>If you have a Spy on Colour:</t>
  </si>
  <si>
    <t xml:space="preserve">4-5: Army. Return an Assassin -&gt; Exile 1. </t>
  </si>
  <si>
    <t>Complexity</t>
  </si>
  <si>
    <t>4-5: Army. Fight.  Discard 1 -&gt; 1VP.</t>
  </si>
  <si>
    <t>Look at the top card of the Market Deck.</t>
  </si>
  <si>
    <t>Take 1/2 and 1G</t>
  </si>
  <si>
    <t>Conditional: Have more trade than royal: 2G</t>
  </si>
  <si>
    <t>2-3: Gain 1G. Discard 1-&gt; Fight.</t>
  </si>
  <si>
    <t>4-5: Gain 1G. Exile 1 -&gt; Fight.</t>
  </si>
  <si>
    <t>2-3: Gain 1kn. Discard 1-&gt; Take 1.</t>
  </si>
  <si>
    <t>4-5: Gain 1kn. Exile -&gt; Take 1.</t>
  </si>
  <si>
    <t>4-5: Discard 1 -&gt; 2G or 1VP (x2).</t>
  </si>
  <si>
    <t>2-3: Discard 1 -&gt; 2G or 1VP.</t>
  </si>
  <si>
    <t>Warlord Scoring card, Common Discard pile</t>
  </si>
  <si>
    <t xml:space="preserve">only bonus. Re-arrange piles. Reveal conditional bonuses. Temple tokens as rewards + Gain temple tokens as main actions. </t>
  </si>
  <si>
    <t>[]-1: Spy or Return a Spy -&gt; Guard</t>
  </si>
  <si>
    <t xml:space="preserve">2-3: Spy / Guard </t>
  </si>
  <si>
    <t>4-5: Spy. Guard  or 1VP</t>
  </si>
  <si>
    <t>[]-1: Assassin or Return Assass -&gt; Guard</t>
  </si>
  <si>
    <t xml:space="preserve">2-3: Assassin or Guard </t>
  </si>
  <si>
    <t>4-5: Assassin. Guard  or 1VP</t>
  </si>
  <si>
    <t xml:space="preserve">Own Outpost: Trigger Warlords discard effect </t>
  </si>
  <si>
    <t>Forced: If you bury this card: Gain 1G. Draw 1.</t>
  </si>
  <si>
    <t xml:space="preserve">2-3: Army. Fight. </t>
  </si>
  <si>
    <r>
      <t xml:space="preserve">2-3: Gain 1kn </t>
    </r>
    <r>
      <rPr>
        <sz val="8"/>
        <color rgb="FFFF0000"/>
        <rFont val="Aptos Narrow"/>
        <family val="2"/>
        <scheme val="minor"/>
      </rPr>
      <t>and</t>
    </r>
    <r>
      <rPr>
        <sz val="8"/>
        <color theme="1"/>
        <rFont val="Aptos Narrow"/>
        <family val="2"/>
        <scheme val="minor"/>
      </rPr>
      <t xml:space="preserve"> Fight.</t>
    </r>
  </si>
  <si>
    <t>Exile 1. If it is [Yellow]: Gain 2G and Take 1/2.</t>
  </si>
  <si>
    <t>[]-1: Army. Bury 1 -&gt; Fight</t>
  </si>
  <si>
    <t>2-3: Gain 1G. Bury 1-&gt; 1kn.</t>
  </si>
  <si>
    <t>End of Turn: After you bury [blue] or [purple]: Gain 1kn (limit once per turn)</t>
  </si>
  <si>
    <t>Ongoing: After you bury [yellow] or [red]: Gain 1G</t>
  </si>
  <si>
    <t>2-3: Gain 1kn. Bury 1-&gt; 1kn.</t>
  </si>
  <si>
    <t>Control more[tempe] than [swords]: Gain O</t>
  </si>
  <si>
    <t>Control more[tempe] than [swords]: 1kn</t>
  </si>
  <si>
    <t xml:space="preserve">Play a non-tech card: If [Green] : Draw 1 or Revive 1. </t>
  </si>
  <si>
    <t>Akkadian</t>
  </si>
  <si>
    <t>Gain 1VP if you control more [Royal] than [Sword]. Otherwise: Take 1/2</t>
  </si>
  <si>
    <t>Reveal [Crown]: Army or Fight.</t>
  </si>
  <si>
    <t xml:space="preserve">Two-face </t>
  </si>
  <si>
    <t>Complexity 3</t>
  </si>
  <si>
    <t>Tower builders</t>
  </si>
  <si>
    <t>Complexity: 4</t>
  </si>
  <si>
    <t>Complexity: 5</t>
  </si>
  <si>
    <r>
      <t xml:space="preserve">2-3: Draw 1 or </t>
    </r>
    <r>
      <rPr>
        <sz val="8"/>
        <color rgb="FFFF0000"/>
        <rFont val="Aptos Narrow"/>
        <family val="2"/>
        <scheme val="minor"/>
      </rPr>
      <t>Gain 1kn. (Fight?)</t>
    </r>
  </si>
  <si>
    <r>
      <t xml:space="preserve">4-5: Draw 1. </t>
    </r>
    <r>
      <rPr>
        <sz val="8"/>
        <color rgb="FFFF0000"/>
        <rFont val="Aptos Narrow"/>
        <family val="2"/>
        <scheme val="minor"/>
      </rPr>
      <t>Fight or</t>
    </r>
    <r>
      <rPr>
        <sz val="8"/>
        <color theme="1"/>
        <rFont val="Aptos Narrow"/>
        <family val="2"/>
        <scheme val="minor"/>
      </rPr>
      <t xml:space="preserve"> Gain 1VP.</t>
    </r>
  </si>
  <si>
    <t>Two lanes with bonuses in between. Ending with an Outpost pyramid</t>
  </si>
  <si>
    <t xml:space="preserve">If you have more Tech than Sword: Draw 1 or Take 0. </t>
  </si>
  <si>
    <r>
      <t xml:space="preserve">4-5: Gain 1kn. </t>
    </r>
    <r>
      <rPr>
        <sz val="8"/>
        <color rgb="FFFF0000"/>
        <rFont val="Aptos Narrow"/>
        <family val="2"/>
        <scheme val="minor"/>
      </rPr>
      <t>Bury 1 -&gt; Exile 1.</t>
    </r>
  </si>
  <si>
    <r>
      <t xml:space="preserve">4-5: Gain 1kn. </t>
    </r>
    <r>
      <rPr>
        <sz val="8"/>
        <color rgb="FFFF0000"/>
        <rFont val="Aptos Narrow"/>
        <family val="2"/>
        <scheme val="minor"/>
      </rPr>
      <t>Pay 1G -&gt; Exile 1.</t>
    </r>
  </si>
  <si>
    <t>Date</t>
  </si>
  <si>
    <t>Type</t>
  </si>
  <si>
    <t>Civ</t>
  </si>
  <si>
    <t>Win/Loss</t>
  </si>
  <si>
    <t>Rounds</t>
  </si>
  <si>
    <t>Scoring cards</t>
  </si>
  <si>
    <t>Consolidation</t>
  </si>
  <si>
    <t>Notes:</t>
  </si>
  <si>
    <t>Solo</t>
  </si>
  <si>
    <t>Hittites</t>
  </si>
  <si>
    <t>Win</t>
  </si>
  <si>
    <t>Silk, Temple tokens, Conqueror</t>
  </si>
  <si>
    <t>Once</t>
  </si>
  <si>
    <t>2VPs from empty temples</t>
  </si>
  <si>
    <t>Silk, Hieroglyphs, Conqueror</t>
  </si>
  <si>
    <t xml:space="preserve">1VP from an empty temples. Would have made 2 more VPs in 18th round </t>
  </si>
  <si>
    <t xml:space="preserve">1VP from an empty temple. Мade 4 VPs in 19th round </t>
  </si>
  <si>
    <t>Collapse, Hieroglyphs, Zenith</t>
  </si>
  <si>
    <t>1VP from an empty temple</t>
  </si>
  <si>
    <t>Loss</t>
  </si>
  <si>
    <t>Library, Wall, Kings</t>
  </si>
  <si>
    <t>Zenith, Tabula, Kings</t>
  </si>
  <si>
    <t>Tabula Rasa worked because I had 5 tech cards.</t>
  </si>
  <si>
    <t xml:space="preserve">Once </t>
  </si>
  <si>
    <t xml:space="preserve">Late-game consolidation, skipped the drawing upgrade again </t>
  </si>
  <si>
    <t>Babylonia*</t>
  </si>
  <si>
    <t>Game ended in 16th round. Had a chance, but made a couple of weak turns</t>
  </si>
  <si>
    <t>Coins, Tabula, Collapse</t>
  </si>
  <si>
    <t>Module</t>
  </si>
  <si>
    <t>Ended up with 19 VPs, Culture cards of rank 4-5 corrected to Bury 1 -&gt; Exile 1 (from Exile 1- &gt; 1kn)</t>
  </si>
  <si>
    <t>Collapse, Conqueror, Wall</t>
  </si>
  <si>
    <t>Late-game consolidation, skipped the drawing upgrade again (new Culture cards work better)</t>
  </si>
  <si>
    <t>4-5: Bury 1 -&gt; 1kn or 1VP</t>
  </si>
  <si>
    <t>2-3: Bury 1 -&gt; 1kn or Take 1</t>
  </si>
  <si>
    <t>[]-1: Bury 1 -&gt; 1kn</t>
  </si>
  <si>
    <r>
      <t xml:space="preserve">4-5: Gain 1kn. </t>
    </r>
    <r>
      <rPr>
        <sz val="8"/>
        <color rgb="FF00B0F0"/>
        <rFont val="Aptos Narrow"/>
        <family val="2"/>
        <scheme val="minor"/>
      </rPr>
      <t>Exile  1 -&gt; 1kn.</t>
    </r>
  </si>
  <si>
    <r>
      <t xml:space="preserve">4-5: Gain 1kn. </t>
    </r>
    <r>
      <rPr>
        <sz val="8"/>
        <color rgb="FF00B0F0"/>
        <rFont val="Aptos Narrow"/>
        <family val="2"/>
        <scheme val="minor"/>
      </rPr>
      <t>Exile 1 -&gt; Outpost.</t>
    </r>
  </si>
  <si>
    <t xml:space="preserve">1VP if you have all five suits </t>
  </si>
  <si>
    <t>Forced: When you exile this card, you may return it your hand.</t>
  </si>
  <si>
    <t>[]-1: Gain 1G. Bury 1 -&gt; Take 1/2.</t>
  </si>
  <si>
    <t>2-3: Gain 1kn. Bury 1 -&gt; Take 1.</t>
  </si>
  <si>
    <t>4-5: Gain 1VP. Bury 1 -&gt; 1VP.</t>
  </si>
  <si>
    <t>Blood, Engineering, Tabula</t>
  </si>
  <si>
    <t>Forgot to score 2 VPs from empty temples (I should write the VPs on the board, as this is not the first time I forgot about those)</t>
  </si>
  <si>
    <t>Maybe too many cards in hand, defeated armies track is strong, too</t>
  </si>
  <si>
    <t>Kings, Collapse, Silk</t>
  </si>
  <si>
    <t>Scored a bunch of 1VPs from Temple tokens + 2 more VPs from empty temples.</t>
  </si>
  <si>
    <t>Overall, Babylonia* feels a bit OP, because of the VPs from empty temples. One solution: Add 1G cost on the VPs on the Civ Board and Discard 1 on the Outpost Space.</t>
  </si>
  <si>
    <t>Babylonia**</t>
  </si>
  <si>
    <t>Silk, Hieroglyphs, Library</t>
  </si>
  <si>
    <t xml:space="preserve">Babylonia** is an improvement. Need to change the wording on the Temple card to (Including this one) </t>
  </si>
  <si>
    <t>Ongoing: After you play [Blue}: Gain 1G (Including this one).</t>
  </si>
  <si>
    <t>Maybe VPs should start from 7th position, not 6th</t>
  </si>
  <si>
    <t>Gold, Tabula, Collapse</t>
  </si>
  <si>
    <t xml:space="preserve">Army should go into Knowledge track, but not the other way around. </t>
  </si>
  <si>
    <t>Blood, Hieroglyphs, Library</t>
  </si>
  <si>
    <t xml:space="preserve">Loss </t>
  </si>
  <si>
    <t>Could not score any of the Scoring Cards. Finished with 14VPs</t>
  </si>
  <si>
    <t>Collapse, Kings, Wall</t>
  </si>
  <si>
    <t>Blood, Zenith, Engineering</t>
  </si>
  <si>
    <t>That was crazy opening hand - 4 temples - but managed to pull off an amazing last turn win (18pts, 4 scored in the last turn).</t>
  </si>
  <si>
    <t xml:space="preserve">Looked a bit OP, but then I started with 4 armies and found two temple tokens that give 1VP each. </t>
  </si>
  <si>
    <t>That was much tighter experience, Babylonia** feels like an impovement (4 more gold, maybe one gold space instead of Revive 1)</t>
  </si>
  <si>
    <t>Blood, Kings, Library</t>
  </si>
  <si>
    <t>None</t>
  </si>
  <si>
    <t>Seems Egypt has an easy access to Take 1 effects that extends their Expansion phase too much. Next time, scrap the VPs on the small pyramid and replace them with Token</t>
  </si>
  <si>
    <t>Egypt*</t>
  </si>
  <si>
    <t>Library, Tabula, Coins</t>
  </si>
  <si>
    <t>Blood, Engineering, Conqueror</t>
  </si>
  <si>
    <t xml:space="preserve">I really like this version of Egypt, but maybe will not be competitite in multiplayer. </t>
  </si>
  <si>
    <t>Egypt* - Tabula Rasa if you consolidate! Scored Library on the first turn (7 cards), thanks to Red military card (Core)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</si>
</sst>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9" x14ac:knownFonts="1">
    <font>
      <sz val="11"/>
      <color theme="1"/>
      <name val="Aptos Narrow"/>
      <family val="2"/>
      <scheme val="minor"/>
    </font>
    <font>
      <sz val="8"/>
      <color theme="1"/>
      <name val="Aptos Narrow"/>
      <family val="2"/>
      <scheme val="minor"/>
    </font>
    <font>
      <i/>
      <sz val="8"/>
      <color theme="1"/>
      <name val="Aptos Narrow"/>
      <family val="2"/>
      <scheme val="minor"/>
    </font>
    <font>
      <sz val="8"/>
      <color rgb="FFFF0000"/>
      <name val="Aptos Narrow"/>
      <family val="2"/>
      <scheme val="minor"/>
    </font>
    <font>
      <sz val="11"/>
      <color theme="1"/>
      <name val="Aptos Narrow"/>
      <family val="2"/>
      <scheme val="minor"/>
    </font>
    <font>
      <i/>
      <sz val="8"/>
      <color rgb="FFFF0000"/>
      <name val="Aptos Narrow"/>
      <family val="2"/>
      <scheme val="minor"/>
    </font>
    <font>
      <sz val="11"/>
      <color rgb="FFFF0000"/>
      <name val="Aptos Narrow"/>
      <family val="2"/>
      <scheme val="minor"/>
    </font>
    <font>
      <b/>
      <sz val="11"/>
      <color theme="1"/>
      <name val="Aptos Narrow"/>
      <family val="2"/>
      <scheme val="minor"/>
    </font>
    <font>
      <sz val="8"/>
      <color rgb="FF00B0F0"/>
      <name val="Aptos Narrow"/>
      <family val="2"/>
      <scheme val="minor"/>
    </font>
  </fonts>
  <fills count="13">
    <fill>
      <patternFill patternType="none"/>
    </fill>
    <fill>
      <patternFill patternType="gray125"/>
    </fill>
    <fill>
      <patternFill patternType="solid">
        <fgColor rgb="FFFF0000"/>
        <bgColor indexed="64"/>
      </patternFill>
    </fill>
    <fill>
      <patternFill patternType="solid">
        <fgColor theme="8" tint="0.59999389629810485"/>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2" tint="-9.9978637043366805E-2"/>
        <bgColor indexed="64"/>
      </patternFill>
    </fill>
  </fills>
  <borders count="11">
    <border>
      <left/>
      <right/>
      <top/>
      <bottom/>
      <diagonal/>
    </border>
    <border>
      <left/>
      <right style="thin">
        <color indexed="64"/>
      </right>
      <top/>
      <bottom style="medium">
        <color indexed="64"/>
      </bottom>
      <diagonal/>
    </border>
    <border>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medium">
        <color indexed="64"/>
      </bottom>
      <diagonal/>
    </border>
    <border>
      <left/>
      <right/>
      <top/>
      <bottom style="medium">
        <color indexed="64"/>
      </bottom>
      <diagonal/>
    </border>
  </borders>
  <cellStyleXfs count="2">
    <xf numFmtId="0" fontId="0" fillId="0" borderId="0"/>
    <xf numFmtId="9" fontId="4" fillId="0" borderId="0" applyFont="0" applyFill="0" applyBorder="0" applyAlignment="0" applyProtection="0"/>
  </cellStyleXfs>
  <cellXfs count="60">
    <xf numFmtId="0" fontId="0" fillId="0" borderId="0" xfId="0"/>
    <xf numFmtId="49" fontId="0" fillId="0" borderId="0" xfId="0" applyNumberFormat="1"/>
    <xf numFmtId="0" fontId="0" fillId="0" borderId="1" xfId="0" applyBorder="1" applyAlignment="1">
      <alignment horizontal="center"/>
    </xf>
    <xf numFmtId="49" fontId="1" fillId="0" borderId="2" xfId="0" applyNumberFormat="1" applyFont="1" applyBorder="1"/>
    <xf numFmtId="49" fontId="1" fillId="0" borderId="1" xfId="0" applyNumberFormat="1" applyFont="1" applyBorder="1"/>
    <xf numFmtId="49" fontId="2" fillId="0" borderId="2" xfId="0" applyNumberFormat="1" applyFont="1" applyBorder="1"/>
    <xf numFmtId="49" fontId="2" fillId="0" borderId="1" xfId="0" applyNumberFormat="1" applyFont="1" applyBorder="1"/>
    <xf numFmtId="0" fontId="0" fillId="0" borderId="3" xfId="0" applyBorder="1" applyAlignment="1">
      <alignment horizontal="center"/>
    </xf>
    <xf numFmtId="49" fontId="1" fillId="0" borderId="4" xfId="0" applyNumberFormat="1" applyFont="1" applyBorder="1"/>
    <xf numFmtId="49" fontId="1" fillId="0" borderId="3" xfId="0" applyNumberFormat="1" applyFont="1" applyBorder="1"/>
    <xf numFmtId="49" fontId="0" fillId="0" borderId="4" xfId="0" applyNumberFormat="1" applyBorder="1"/>
    <xf numFmtId="49" fontId="2" fillId="0" borderId="3" xfId="0" applyNumberFormat="1" applyFont="1" applyBorder="1"/>
    <xf numFmtId="49" fontId="0" fillId="0" borderId="2" xfId="0" applyNumberFormat="1" applyBorder="1"/>
    <xf numFmtId="0" fontId="0" fillId="0" borderId="4" xfId="0" applyBorder="1"/>
    <xf numFmtId="0" fontId="0" fillId="0" borderId="3" xfId="0" applyBorder="1"/>
    <xf numFmtId="0" fontId="0" fillId="0" borderId="1" xfId="0" applyBorder="1"/>
    <xf numFmtId="0" fontId="0" fillId="0" borderId="5" xfId="0" applyBorder="1"/>
    <xf numFmtId="0" fontId="0" fillId="2" borderId="3" xfId="0" applyFill="1" applyBorder="1" applyAlignment="1">
      <alignment horizontal="center"/>
    </xf>
    <xf numFmtId="0" fontId="0" fillId="4" borderId="3" xfId="0" applyFill="1" applyBorder="1" applyAlignment="1">
      <alignment horizontal="center"/>
    </xf>
    <xf numFmtId="0" fontId="0" fillId="5" borderId="3" xfId="0" applyFill="1" applyBorder="1" applyAlignment="1">
      <alignment horizontal="center"/>
    </xf>
    <xf numFmtId="0" fontId="0" fillId="6" borderId="3" xfId="0" applyFill="1" applyBorder="1" applyAlignment="1">
      <alignment horizontal="center"/>
    </xf>
    <xf numFmtId="49" fontId="3" fillId="0" borderId="4" xfId="0" applyNumberFormat="1" applyFont="1" applyBorder="1"/>
    <xf numFmtId="0" fontId="0" fillId="5" borderId="1" xfId="0" applyFill="1" applyBorder="1" applyAlignment="1">
      <alignment horizontal="center"/>
    </xf>
    <xf numFmtId="0" fontId="0" fillId="0" borderId="6" xfId="0" applyBorder="1"/>
    <xf numFmtId="49" fontId="2" fillId="0" borderId="7" xfId="0" applyNumberFormat="1" applyFont="1" applyBorder="1"/>
    <xf numFmtId="49" fontId="2" fillId="0" borderId="5" xfId="0" applyNumberFormat="1" applyFont="1" applyBorder="1"/>
    <xf numFmtId="49" fontId="2" fillId="0" borderId="8" xfId="0" applyNumberFormat="1" applyFont="1" applyBorder="1"/>
    <xf numFmtId="9" fontId="1" fillId="0" borderId="8" xfId="1" applyFont="1" applyBorder="1"/>
    <xf numFmtId="49" fontId="1" fillId="0" borderId="7" xfId="0" applyNumberFormat="1" applyFont="1" applyBorder="1"/>
    <xf numFmtId="49" fontId="1" fillId="0" borderId="5" xfId="0" applyNumberFormat="1" applyFont="1" applyBorder="1"/>
    <xf numFmtId="49" fontId="1" fillId="0" borderId="8" xfId="0" applyNumberFormat="1" applyFont="1" applyBorder="1"/>
    <xf numFmtId="0" fontId="0" fillId="0" borderId="9" xfId="0" applyBorder="1"/>
    <xf numFmtId="0" fontId="0" fillId="0" borderId="7" xfId="0" applyBorder="1"/>
    <xf numFmtId="0" fontId="0" fillId="0" borderId="8" xfId="0" applyBorder="1"/>
    <xf numFmtId="49" fontId="1" fillId="0" borderId="6" xfId="0" applyNumberFormat="1" applyFont="1" applyBorder="1"/>
    <xf numFmtId="0" fontId="0" fillId="0" borderId="6" xfId="0" applyBorder="1" applyAlignment="1">
      <alignment horizontal="center"/>
    </xf>
    <xf numFmtId="0" fontId="0" fillId="0" borderId="0" xfId="0" applyAlignment="1">
      <alignment horizontal="center"/>
    </xf>
    <xf numFmtId="49" fontId="1" fillId="0" borderId="0" xfId="0" applyNumberFormat="1" applyFont="1"/>
    <xf numFmtId="0" fontId="6" fillId="0" borderId="0" xfId="0" applyFont="1"/>
    <xf numFmtId="0" fontId="0" fillId="4" borderId="0" xfId="0" applyFill="1"/>
    <xf numFmtId="0" fontId="7" fillId="2" borderId="3" xfId="0" applyFont="1" applyFill="1" applyBorder="1" applyAlignment="1">
      <alignment horizontal="center"/>
    </xf>
    <xf numFmtId="0" fontId="7" fillId="4" borderId="3" xfId="0" applyFont="1" applyFill="1" applyBorder="1" applyAlignment="1">
      <alignment horizontal="center"/>
    </xf>
    <xf numFmtId="0" fontId="7" fillId="3" borderId="3" xfId="0" applyFont="1" applyFill="1" applyBorder="1" applyAlignment="1">
      <alignment horizontal="center"/>
    </xf>
    <xf numFmtId="0" fontId="7" fillId="5" borderId="3" xfId="0" applyFont="1" applyFill="1" applyBorder="1" applyAlignment="1">
      <alignment horizontal="center"/>
    </xf>
    <xf numFmtId="0" fontId="7" fillId="3" borderId="1" xfId="0" applyFont="1" applyFill="1" applyBorder="1" applyAlignment="1">
      <alignment horizontal="center"/>
    </xf>
    <xf numFmtId="0" fontId="7" fillId="6" borderId="3" xfId="0" applyFont="1" applyFill="1" applyBorder="1" applyAlignment="1">
      <alignment horizontal="center"/>
    </xf>
    <xf numFmtId="0" fontId="7" fillId="0" borderId="0" xfId="0" applyFont="1"/>
    <xf numFmtId="0" fontId="7" fillId="0" borderId="5" xfId="0" applyFont="1" applyBorder="1"/>
    <xf numFmtId="0" fontId="7" fillId="0" borderId="3" xfId="0" applyFont="1" applyBorder="1"/>
    <xf numFmtId="0" fontId="0" fillId="7" borderId="0" xfId="0" applyFill="1"/>
    <xf numFmtId="49" fontId="3" fillId="0" borderId="1" xfId="0" applyNumberFormat="1" applyFont="1" applyBorder="1"/>
    <xf numFmtId="49" fontId="5" fillId="0" borderId="7" xfId="0" applyNumberFormat="1" applyFont="1" applyBorder="1"/>
    <xf numFmtId="49" fontId="3" fillId="0" borderId="10" xfId="0" applyNumberFormat="1" applyFont="1" applyBorder="1"/>
    <xf numFmtId="0" fontId="0" fillId="0" borderId="10" xfId="0" applyBorder="1"/>
    <xf numFmtId="164" fontId="0" fillId="0" borderId="0" xfId="0" applyNumberFormat="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17DB2-4F12-4566-B8D3-F46BDA6CD734}">
  <sheetPr>
    <tabColor rgb="FF92D050"/>
  </sheetPr>
  <dimension ref="A1:L33"/>
  <sheetViews>
    <sheetView zoomScale="120" zoomScaleNormal="120" workbookViewId="0">
      <selection activeCell="C4" sqref="C4"/>
    </sheetView>
  </sheetViews>
  <sheetFormatPr defaultRowHeight="15" x14ac:dyDescent="0.25"/>
  <cols>
    <col min="1" max="1" width="25.28515625" bestFit="1" customWidth="1"/>
    <col min="2" max="2" width="28.42578125" bestFit="1" customWidth="1"/>
    <col min="3" max="3" width="26.7109375" bestFit="1" customWidth="1"/>
    <col min="4" max="4" width="27" customWidth="1"/>
    <col min="5" max="5" width="25.85546875" bestFit="1" customWidth="1"/>
    <col min="9" max="9" width="26.7109375" bestFit="1" customWidth="1"/>
    <col min="10" max="10" width="12.42578125" customWidth="1"/>
  </cols>
  <sheetData>
    <row r="1" spans="1:12" ht="15.75" thickBot="1" x14ac:dyDescent="0.3">
      <c r="A1" s="2" t="s">
        <v>0</v>
      </c>
      <c r="B1" s="7" t="s">
        <v>1</v>
      </c>
      <c r="C1" s="7" t="s">
        <v>73</v>
      </c>
      <c r="D1" s="7" t="s">
        <v>2</v>
      </c>
      <c r="E1" s="7" t="s">
        <v>3</v>
      </c>
      <c r="G1" s="35" t="s">
        <v>80</v>
      </c>
      <c r="I1" s="36" t="s">
        <v>148</v>
      </c>
      <c r="J1" t="s">
        <v>249</v>
      </c>
      <c r="K1" s="49" t="s">
        <v>154</v>
      </c>
      <c r="L1" t="s">
        <v>155</v>
      </c>
    </row>
    <row r="2" spans="1:12" x14ac:dyDescent="0.25">
      <c r="A2" s="3" t="s">
        <v>6</v>
      </c>
      <c r="B2" s="8" t="s">
        <v>11</v>
      </c>
      <c r="C2" s="8" t="s">
        <v>12</v>
      </c>
      <c r="D2" s="8" t="s">
        <v>13</v>
      </c>
      <c r="E2" s="8" t="s">
        <v>14</v>
      </c>
      <c r="G2" s="34" t="s">
        <v>79</v>
      </c>
      <c r="H2" s="34" t="s">
        <v>145</v>
      </c>
      <c r="I2" s="34" t="s">
        <v>149</v>
      </c>
      <c r="J2">
        <v>1</v>
      </c>
    </row>
    <row r="3" spans="1:12" x14ac:dyDescent="0.25">
      <c r="A3" s="3" t="s">
        <v>4</v>
      </c>
      <c r="B3" s="8" t="s">
        <v>103</v>
      </c>
      <c r="C3" s="8" t="s">
        <v>277</v>
      </c>
      <c r="D3" s="8" t="s">
        <v>17</v>
      </c>
      <c r="E3" s="8" t="s">
        <v>18</v>
      </c>
      <c r="K3" s="49" t="s">
        <v>156</v>
      </c>
      <c r="L3" t="s">
        <v>261</v>
      </c>
    </row>
    <row r="4" spans="1:12" x14ac:dyDescent="0.25">
      <c r="A4" s="3" t="s">
        <v>7</v>
      </c>
      <c r="B4" s="8" t="s">
        <v>104</v>
      </c>
      <c r="C4" s="8" t="s">
        <v>293</v>
      </c>
      <c r="D4" s="8" t="s">
        <v>68</v>
      </c>
      <c r="E4" s="8" t="s">
        <v>22</v>
      </c>
    </row>
    <row r="5" spans="1:12" x14ac:dyDescent="0.25">
      <c r="A5" s="3"/>
      <c r="B5" s="8"/>
      <c r="C5" s="8"/>
      <c r="D5" s="21"/>
      <c r="E5" s="8"/>
      <c r="K5" s="49" t="s">
        <v>244</v>
      </c>
      <c r="L5" t="s">
        <v>245</v>
      </c>
    </row>
    <row r="6" spans="1:12" ht="15.75" thickBot="1" x14ac:dyDescent="0.3">
      <c r="A6" s="4"/>
      <c r="B6" s="9"/>
      <c r="C6" s="9"/>
      <c r="D6" s="9"/>
      <c r="E6" s="11" t="s">
        <v>144</v>
      </c>
      <c r="K6" t="s">
        <v>152</v>
      </c>
      <c r="L6" t="s">
        <v>153</v>
      </c>
    </row>
    <row r="7" spans="1:12" x14ac:dyDescent="0.25">
      <c r="A7" s="3" t="s">
        <v>184</v>
      </c>
      <c r="B7" s="8" t="s">
        <v>23</v>
      </c>
      <c r="C7" s="8" t="s">
        <v>12</v>
      </c>
      <c r="D7" s="8" t="s">
        <v>105</v>
      </c>
      <c r="E7" s="8" t="s">
        <v>69</v>
      </c>
      <c r="G7" s="34" t="s">
        <v>246</v>
      </c>
      <c r="H7" s="34" t="s">
        <v>145</v>
      </c>
      <c r="I7" s="34" t="s">
        <v>149</v>
      </c>
      <c r="J7">
        <v>1</v>
      </c>
    </row>
    <row r="8" spans="1:12" x14ac:dyDescent="0.25">
      <c r="A8" s="3" t="s">
        <v>5</v>
      </c>
      <c r="B8" s="8" t="s">
        <v>24</v>
      </c>
      <c r="C8" s="8" t="s">
        <v>271</v>
      </c>
      <c r="D8" s="8" t="s">
        <v>106</v>
      </c>
      <c r="E8" s="8" t="s">
        <v>70</v>
      </c>
    </row>
    <row r="9" spans="1:12" x14ac:dyDescent="0.25">
      <c r="A9" s="3" t="s">
        <v>8</v>
      </c>
      <c r="B9" s="8" t="s">
        <v>140</v>
      </c>
      <c r="C9" s="8" t="s">
        <v>25</v>
      </c>
      <c r="D9" s="8" t="s">
        <v>107</v>
      </c>
      <c r="E9" s="8" t="s">
        <v>71</v>
      </c>
    </row>
    <row r="10" spans="1:12" x14ac:dyDescent="0.25">
      <c r="A10" s="3"/>
      <c r="B10" s="8"/>
      <c r="C10" s="8"/>
      <c r="D10" s="8"/>
      <c r="E10" s="8"/>
    </row>
    <row r="11" spans="1:12" ht="15.75" thickBot="1" x14ac:dyDescent="0.3">
      <c r="A11" s="4"/>
      <c r="B11" s="9"/>
      <c r="C11" s="11" t="s">
        <v>217</v>
      </c>
      <c r="D11" s="9"/>
      <c r="E11" s="11" t="s">
        <v>144</v>
      </c>
    </row>
    <row r="12" spans="1:12" x14ac:dyDescent="0.25">
      <c r="A12" s="3" t="s">
        <v>185</v>
      </c>
      <c r="B12" s="8" t="s">
        <v>11</v>
      </c>
      <c r="C12" s="8" t="s">
        <v>12</v>
      </c>
      <c r="D12" s="8" t="s">
        <v>262</v>
      </c>
      <c r="E12" s="8" t="s">
        <v>30</v>
      </c>
      <c r="G12" s="34" t="s">
        <v>146</v>
      </c>
      <c r="H12" s="34" t="s">
        <v>145</v>
      </c>
      <c r="I12" s="34" t="s">
        <v>150</v>
      </c>
      <c r="J12">
        <v>1.5</v>
      </c>
    </row>
    <row r="13" spans="1:12" x14ac:dyDescent="0.25">
      <c r="A13" s="3" t="s">
        <v>9</v>
      </c>
      <c r="B13" s="8" t="s">
        <v>186</v>
      </c>
      <c r="C13" s="8" t="s">
        <v>27</v>
      </c>
      <c r="D13" s="8" t="s">
        <v>263</v>
      </c>
      <c r="E13" s="8" t="s">
        <v>31</v>
      </c>
    </row>
    <row r="14" spans="1:12" x14ac:dyDescent="0.25">
      <c r="A14" s="3" t="s">
        <v>10</v>
      </c>
      <c r="B14" s="8" t="s">
        <v>187</v>
      </c>
      <c r="C14" s="8" t="s">
        <v>28</v>
      </c>
      <c r="D14" s="8" t="s">
        <v>264</v>
      </c>
      <c r="E14" s="8" t="s">
        <v>32</v>
      </c>
    </row>
    <row r="15" spans="1:12" x14ac:dyDescent="0.25">
      <c r="A15" s="5"/>
      <c r="B15" s="10"/>
      <c r="C15" s="10"/>
      <c r="D15" s="10"/>
      <c r="E15" s="10"/>
    </row>
    <row r="16" spans="1:12" ht="15.75" thickBot="1" x14ac:dyDescent="0.3">
      <c r="A16" s="6" t="s">
        <v>247</v>
      </c>
      <c r="B16" s="11" t="s">
        <v>26</v>
      </c>
      <c r="C16" s="11" t="s">
        <v>29</v>
      </c>
      <c r="D16" s="11" t="s">
        <v>157</v>
      </c>
      <c r="E16" s="11" t="s">
        <v>144</v>
      </c>
    </row>
    <row r="17" spans="1:10" x14ac:dyDescent="0.25">
      <c r="A17" s="3" t="s">
        <v>160</v>
      </c>
      <c r="B17" s="8" t="s">
        <v>11</v>
      </c>
      <c r="C17" s="8" t="s">
        <v>12</v>
      </c>
      <c r="D17" s="8" t="s">
        <v>265</v>
      </c>
      <c r="E17" s="8" t="s">
        <v>168</v>
      </c>
      <c r="G17" s="34" t="s">
        <v>147</v>
      </c>
      <c r="H17" s="34" t="s">
        <v>183</v>
      </c>
      <c r="I17" s="34" t="s">
        <v>151</v>
      </c>
      <c r="J17">
        <v>3</v>
      </c>
    </row>
    <row r="18" spans="1:10" x14ac:dyDescent="0.25">
      <c r="A18" s="3" t="s">
        <v>161</v>
      </c>
      <c r="B18" s="8" t="s">
        <v>162</v>
      </c>
      <c r="C18" s="8" t="s">
        <v>164</v>
      </c>
      <c r="D18" s="8" t="s">
        <v>266</v>
      </c>
      <c r="E18" s="8" t="s">
        <v>169</v>
      </c>
    </row>
    <row r="19" spans="1:10" x14ac:dyDescent="0.25">
      <c r="A19" s="3" t="s">
        <v>248</v>
      </c>
      <c r="B19" s="8" t="s">
        <v>163</v>
      </c>
      <c r="C19" s="8" t="s">
        <v>167</v>
      </c>
      <c r="D19" s="8" t="s">
        <v>267</v>
      </c>
      <c r="E19" s="8" t="s">
        <v>170</v>
      </c>
    </row>
    <row r="20" spans="1:10" x14ac:dyDescent="0.25">
      <c r="A20" s="12"/>
      <c r="B20" s="10"/>
      <c r="C20" s="10"/>
      <c r="D20" s="10"/>
      <c r="E20" s="10"/>
    </row>
    <row r="21" spans="1:10" ht="15.75" thickBot="1" x14ac:dyDescent="0.3">
      <c r="A21" s="6" t="s">
        <v>158</v>
      </c>
      <c r="B21" s="11" t="s">
        <v>166</v>
      </c>
      <c r="C21" s="11" t="s">
        <v>159</v>
      </c>
      <c r="D21" s="11" t="s">
        <v>165</v>
      </c>
      <c r="E21" s="11" t="s">
        <v>144</v>
      </c>
    </row>
    <row r="22" spans="1:10" x14ac:dyDescent="0.25">
      <c r="A22" s="3" t="s">
        <v>6</v>
      </c>
      <c r="B22" s="8" t="s">
        <v>11</v>
      </c>
      <c r="C22" s="8" t="s">
        <v>12</v>
      </c>
      <c r="D22" s="8" t="s">
        <v>105</v>
      </c>
      <c r="E22" s="8" t="s">
        <v>189</v>
      </c>
      <c r="G22" s="34" t="s">
        <v>244</v>
      </c>
      <c r="H22" s="34" t="s">
        <v>81</v>
      </c>
      <c r="I22" s="34" t="s">
        <v>260</v>
      </c>
      <c r="J22">
        <v>2</v>
      </c>
    </row>
    <row r="23" spans="1:10" x14ac:dyDescent="0.25">
      <c r="A23" s="3" t="s">
        <v>4</v>
      </c>
      <c r="B23" s="8" t="s">
        <v>254</v>
      </c>
      <c r="C23" s="8" t="s">
        <v>256</v>
      </c>
      <c r="D23" s="8" t="s">
        <v>259</v>
      </c>
      <c r="E23" s="8" t="s">
        <v>177</v>
      </c>
    </row>
    <row r="24" spans="1:10" x14ac:dyDescent="0.25">
      <c r="A24" s="3" t="s">
        <v>250</v>
      </c>
      <c r="B24" s="8" t="s">
        <v>255</v>
      </c>
      <c r="C24" s="8" t="s">
        <v>257</v>
      </c>
      <c r="D24" s="8" t="s">
        <v>258</v>
      </c>
      <c r="E24" s="8" t="s">
        <v>178</v>
      </c>
    </row>
    <row r="25" spans="1:10" x14ac:dyDescent="0.25">
      <c r="A25" s="3"/>
      <c r="B25" s="8"/>
      <c r="C25" s="8"/>
      <c r="D25" s="8"/>
      <c r="E25" s="8"/>
    </row>
    <row r="26" spans="1:10" ht="15.75" thickBot="1" x14ac:dyDescent="0.3">
      <c r="A26" s="50" t="s">
        <v>268</v>
      </c>
      <c r="B26" s="9" t="s">
        <v>253</v>
      </c>
      <c r="C26" s="9" t="s">
        <v>252</v>
      </c>
      <c r="D26" s="9" t="s">
        <v>251</v>
      </c>
      <c r="E26" s="11" t="s">
        <v>144</v>
      </c>
    </row>
    <row r="27" spans="1:10" x14ac:dyDescent="0.25">
      <c r="A27" s="1"/>
      <c r="B27" s="1"/>
      <c r="C27" s="1"/>
      <c r="D27" s="1"/>
      <c r="E27" s="1"/>
    </row>
    <row r="28" spans="1:10" x14ac:dyDescent="0.25">
      <c r="A28" s="1"/>
      <c r="B28" s="1"/>
      <c r="C28" s="1"/>
      <c r="D28" s="1"/>
      <c r="E28" s="1"/>
    </row>
    <row r="29" spans="1:10" x14ac:dyDescent="0.25">
      <c r="A29" s="1"/>
      <c r="B29" s="1"/>
      <c r="C29" s="1"/>
      <c r="D29" s="1"/>
      <c r="E29" s="1"/>
    </row>
    <row r="30" spans="1:10" x14ac:dyDescent="0.25">
      <c r="A30" s="1"/>
      <c r="B30" s="1"/>
      <c r="C30" s="1"/>
      <c r="D30" s="1"/>
      <c r="E30" s="1"/>
    </row>
    <row r="31" spans="1:10" x14ac:dyDescent="0.25">
      <c r="A31" s="1"/>
      <c r="B31" s="1"/>
      <c r="C31" s="1"/>
      <c r="D31" s="1"/>
      <c r="E31" s="1"/>
    </row>
    <row r="32" spans="1:10" x14ac:dyDescent="0.25">
      <c r="A32" s="1"/>
      <c r="B32" s="1"/>
      <c r="C32" s="1"/>
      <c r="D32" s="1"/>
      <c r="E32" s="1"/>
    </row>
    <row r="33" spans="1:5" x14ac:dyDescent="0.25">
      <c r="A33" s="1"/>
      <c r="B33" s="1"/>
      <c r="C33" s="1"/>
      <c r="D33" s="1"/>
      <c r="E33"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30D2C-8CA3-4DC9-A0B7-182A39220D2B}">
  <sheetPr>
    <tabColor theme="8" tint="0.39997558519241921"/>
  </sheetPr>
  <dimension ref="A1:J52"/>
  <sheetViews>
    <sheetView tabSelected="1" topLeftCell="A27" zoomScaleNormal="100" workbookViewId="0">
      <selection activeCell="E54" sqref="E54"/>
    </sheetView>
  </sheetViews>
  <sheetFormatPr defaultRowHeight="15" x14ac:dyDescent="0.25"/>
  <cols>
    <col min="1" max="1" width="10.7109375" bestFit="1" customWidth="1"/>
    <col min="2" max="2" width="20.140625" customWidth="1"/>
    <col min="3" max="3" width="40.85546875" customWidth="1"/>
    <col min="4" max="4" width="44.140625" customWidth="1"/>
    <col min="5" max="5" width="34.140625" bestFit="1" customWidth="1"/>
    <col min="6" max="6" width="30.42578125" bestFit="1" customWidth="1"/>
    <col min="8" max="8" width="13.7109375" bestFit="1" customWidth="1"/>
  </cols>
  <sheetData>
    <row r="1" spans="1:8" ht="15.75" thickBot="1" x14ac:dyDescent="0.3">
      <c r="A1" s="48" t="s">
        <v>33</v>
      </c>
      <c r="B1" s="40" t="s">
        <v>0</v>
      </c>
      <c r="C1" s="41" t="s">
        <v>1</v>
      </c>
      <c r="D1" s="43" t="s">
        <v>73</v>
      </c>
      <c r="E1" s="40" t="s">
        <v>2</v>
      </c>
      <c r="F1" s="44" t="s">
        <v>3</v>
      </c>
      <c r="G1" s="46"/>
      <c r="H1" s="46" t="s">
        <v>59</v>
      </c>
    </row>
    <row r="2" spans="1:8" x14ac:dyDescent="0.25">
      <c r="A2" s="13"/>
      <c r="B2" s="8" t="s">
        <v>38</v>
      </c>
      <c r="C2" s="8" t="s">
        <v>97</v>
      </c>
      <c r="D2" s="8" t="s">
        <v>240</v>
      </c>
      <c r="E2" s="8" t="s">
        <v>41</v>
      </c>
      <c r="F2" s="3" t="s">
        <v>100</v>
      </c>
    </row>
    <row r="3" spans="1:8" x14ac:dyDescent="0.25">
      <c r="A3" s="13"/>
      <c r="B3" s="8" t="s">
        <v>39</v>
      </c>
      <c r="C3" s="8" t="s">
        <v>98</v>
      </c>
      <c r="D3" s="8" t="s">
        <v>241</v>
      </c>
      <c r="E3" s="8" t="s">
        <v>42</v>
      </c>
      <c r="F3" s="3" t="s">
        <v>101</v>
      </c>
    </row>
    <row r="4" spans="1:8" ht="15.75" thickBot="1" x14ac:dyDescent="0.3">
      <c r="A4" s="13"/>
      <c r="B4" s="8" t="s">
        <v>40</v>
      </c>
      <c r="C4" s="8" t="s">
        <v>99</v>
      </c>
      <c r="D4" s="8" t="s">
        <v>243</v>
      </c>
      <c r="E4" s="8" t="s">
        <v>43</v>
      </c>
      <c r="F4" s="3" t="s">
        <v>102</v>
      </c>
    </row>
    <row r="5" spans="1:8" ht="15.75" thickBot="1" x14ac:dyDescent="0.3">
      <c r="A5" s="23"/>
      <c r="B5" s="24" t="s">
        <v>72</v>
      </c>
      <c r="C5" s="25" t="s">
        <v>272</v>
      </c>
      <c r="D5" s="25" t="s">
        <v>242</v>
      </c>
      <c r="E5" s="25" t="s">
        <v>75</v>
      </c>
      <c r="F5" s="26" t="s">
        <v>188</v>
      </c>
    </row>
    <row r="6" spans="1:8" ht="15.75" thickBot="1" x14ac:dyDescent="0.3">
      <c r="A6" s="14"/>
      <c r="B6" s="14"/>
      <c r="C6" s="14"/>
      <c r="D6" s="14"/>
      <c r="E6" s="14"/>
      <c r="F6" s="15"/>
    </row>
    <row r="7" spans="1:8" ht="15.75" thickBot="1" x14ac:dyDescent="0.3">
      <c r="A7" s="47" t="s">
        <v>34</v>
      </c>
      <c r="B7" s="40" t="s">
        <v>0</v>
      </c>
      <c r="C7" s="41" t="s">
        <v>1</v>
      </c>
      <c r="D7" s="43" t="s">
        <v>73</v>
      </c>
      <c r="E7" s="43" t="s">
        <v>2</v>
      </c>
      <c r="F7" s="44" t="s">
        <v>3</v>
      </c>
      <c r="G7" s="46"/>
      <c r="H7" s="46" t="s">
        <v>58</v>
      </c>
    </row>
    <row r="8" spans="1:8" x14ac:dyDescent="0.25">
      <c r="A8" s="13"/>
      <c r="B8" s="8" t="s">
        <v>44</v>
      </c>
      <c r="C8" s="8" t="s">
        <v>11</v>
      </c>
      <c r="D8" s="8" t="s">
        <v>12</v>
      </c>
      <c r="E8" s="8" t="s">
        <v>329</v>
      </c>
      <c r="F8" s="8" t="s">
        <v>45</v>
      </c>
    </row>
    <row r="9" spans="1:8" x14ac:dyDescent="0.25">
      <c r="A9" s="13"/>
      <c r="B9" s="8" t="s">
        <v>4</v>
      </c>
      <c r="C9" s="8" t="s">
        <v>103</v>
      </c>
      <c r="D9" s="8" t="s">
        <v>48</v>
      </c>
      <c r="E9" s="8" t="s">
        <v>328</v>
      </c>
      <c r="F9" s="8" t="s">
        <v>47</v>
      </c>
    </row>
    <row r="10" spans="1:8" ht="15.75" thickBot="1" x14ac:dyDescent="0.3">
      <c r="A10" s="13"/>
      <c r="B10" s="8" t="s">
        <v>7</v>
      </c>
      <c r="C10" s="8" t="s">
        <v>104</v>
      </c>
      <c r="D10" s="8" t="s">
        <v>294</v>
      </c>
      <c r="E10" s="8" t="s">
        <v>327</v>
      </c>
      <c r="F10" s="8" t="s">
        <v>46</v>
      </c>
    </row>
    <row r="11" spans="1:8" ht="15.75" thickBot="1" x14ac:dyDescent="0.3">
      <c r="A11" s="23"/>
      <c r="B11" s="24" t="s">
        <v>76</v>
      </c>
      <c r="C11" s="25" t="s">
        <v>77</v>
      </c>
      <c r="D11" s="25" t="s">
        <v>346</v>
      </c>
      <c r="E11" s="25" t="s">
        <v>292</v>
      </c>
      <c r="F11" s="27" t="s">
        <v>229</v>
      </c>
    </row>
    <row r="12" spans="1:8" ht="15.75" thickBot="1" x14ac:dyDescent="0.3">
      <c r="A12" s="14"/>
      <c r="B12" s="14"/>
      <c r="C12" s="14"/>
      <c r="D12" s="14"/>
      <c r="E12" s="14"/>
      <c r="F12" s="15"/>
    </row>
    <row r="13" spans="1:8" ht="15.75" thickBot="1" x14ac:dyDescent="0.3">
      <c r="A13" s="47" t="s">
        <v>35</v>
      </c>
      <c r="B13" s="40" t="s">
        <v>0</v>
      </c>
      <c r="C13" s="41" t="s">
        <v>1</v>
      </c>
      <c r="D13" s="42" t="s">
        <v>73</v>
      </c>
      <c r="E13" s="43" t="s">
        <v>2</v>
      </c>
      <c r="F13" s="44" t="s">
        <v>3</v>
      </c>
      <c r="H13" s="46" t="s">
        <v>287</v>
      </c>
    </row>
    <row r="14" spans="1:8" x14ac:dyDescent="0.25">
      <c r="A14" s="13"/>
      <c r="B14" s="8" t="s">
        <v>273</v>
      </c>
      <c r="C14" s="8" t="s">
        <v>11</v>
      </c>
      <c r="D14" s="8" t="s">
        <v>12</v>
      </c>
      <c r="E14" s="8" t="s">
        <v>180</v>
      </c>
      <c r="F14" s="8" t="s">
        <v>334</v>
      </c>
    </row>
    <row r="15" spans="1:8" x14ac:dyDescent="0.25">
      <c r="A15" s="13"/>
      <c r="B15" s="8" t="s">
        <v>270</v>
      </c>
      <c r="C15" s="8" t="s">
        <v>274</v>
      </c>
      <c r="D15" s="8" t="s">
        <v>48</v>
      </c>
      <c r="E15" s="8" t="s">
        <v>181</v>
      </c>
      <c r="F15" s="8" t="s">
        <v>335</v>
      </c>
    </row>
    <row r="16" spans="1:8" ht="15.75" thickBot="1" x14ac:dyDescent="0.3">
      <c r="A16" s="13"/>
      <c r="B16" s="8" t="s">
        <v>40</v>
      </c>
      <c r="C16" s="8" t="s">
        <v>52</v>
      </c>
      <c r="D16" s="8" t="s">
        <v>53</v>
      </c>
      <c r="E16" s="8" t="s">
        <v>182</v>
      </c>
      <c r="F16" s="8" t="s">
        <v>336</v>
      </c>
    </row>
    <row r="17" spans="1:10" ht="15.75" thickBot="1" x14ac:dyDescent="0.3">
      <c r="A17" s="23"/>
      <c r="B17" s="51" t="s">
        <v>333</v>
      </c>
      <c r="C17" s="25" t="s">
        <v>269</v>
      </c>
      <c r="D17" s="25" t="s">
        <v>275</v>
      </c>
      <c r="E17" s="25" t="s">
        <v>199</v>
      </c>
      <c r="F17" s="26" t="s">
        <v>276</v>
      </c>
    </row>
    <row r="18" spans="1:10" ht="15.75" thickBot="1" x14ac:dyDescent="0.3">
      <c r="A18" s="14"/>
      <c r="B18" s="14"/>
      <c r="C18" s="14"/>
      <c r="D18" s="14"/>
      <c r="E18" s="14"/>
      <c r="F18" s="15"/>
    </row>
    <row r="19" spans="1:10" ht="15.75" thickBot="1" x14ac:dyDescent="0.3">
      <c r="A19" s="16" t="s">
        <v>36</v>
      </c>
      <c r="B19" s="40" t="s">
        <v>55</v>
      </c>
      <c r="C19" s="18" t="s">
        <v>56</v>
      </c>
      <c r="D19" s="19" t="s">
        <v>74</v>
      </c>
      <c r="E19" s="20" t="s">
        <v>2</v>
      </c>
      <c r="F19" s="22" t="s">
        <v>3</v>
      </c>
      <c r="H19" t="s">
        <v>288</v>
      </c>
    </row>
    <row r="20" spans="1:10" x14ac:dyDescent="0.25">
      <c r="A20" s="13"/>
      <c r="B20" s="8" t="s">
        <v>194</v>
      </c>
      <c r="C20" s="8" t="s">
        <v>62</v>
      </c>
      <c r="D20" s="8" t="s">
        <v>65</v>
      </c>
      <c r="E20" s="8" t="s">
        <v>234</v>
      </c>
      <c r="F20" s="3" t="s">
        <v>196</v>
      </c>
    </row>
    <row r="21" spans="1:10" x14ac:dyDescent="0.25">
      <c r="A21" s="13"/>
      <c r="B21" s="8" t="s">
        <v>195</v>
      </c>
      <c r="C21" s="8" t="s">
        <v>63</v>
      </c>
      <c r="D21" s="8" t="s">
        <v>67</v>
      </c>
      <c r="E21" s="8" t="s">
        <v>235</v>
      </c>
      <c r="F21" s="3" t="s">
        <v>197</v>
      </c>
    </row>
    <row r="22" spans="1:10" ht="15.75" thickBot="1" x14ac:dyDescent="0.3">
      <c r="A22" s="13"/>
      <c r="B22" s="8" t="s">
        <v>230</v>
      </c>
      <c r="C22" s="8" t="s">
        <v>64</v>
      </c>
      <c r="D22" s="8" t="s">
        <v>66</v>
      </c>
      <c r="E22" s="8" t="s">
        <v>236</v>
      </c>
      <c r="F22" s="3" t="s">
        <v>198</v>
      </c>
    </row>
    <row r="23" spans="1:10" ht="15.75" thickBot="1" x14ac:dyDescent="0.3">
      <c r="A23" s="23"/>
      <c r="B23" s="24" t="s">
        <v>231</v>
      </c>
      <c r="C23" s="29" t="s">
        <v>232</v>
      </c>
      <c r="D23" s="29" t="s">
        <v>233</v>
      </c>
      <c r="E23" s="29" t="s">
        <v>237</v>
      </c>
      <c r="F23" s="30" t="s">
        <v>238</v>
      </c>
    </row>
    <row r="24" spans="1:10" ht="15.75" thickBot="1" x14ac:dyDescent="0.3">
      <c r="A24" s="14"/>
      <c r="B24" s="14"/>
      <c r="C24" s="14"/>
      <c r="D24" s="14"/>
      <c r="E24" s="14"/>
      <c r="F24" s="15"/>
    </row>
    <row r="25" spans="1:10" ht="15.75" thickBot="1" x14ac:dyDescent="0.3">
      <c r="A25" s="47" t="s">
        <v>37</v>
      </c>
      <c r="B25" s="40" t="s">
        <v>0</v>
      </c>
      <c r="C25" s="41" t="s">
        <v>1</v>
      </c>
      <c r="D25" s="43" t="s">
        <v>73</v>
      </c>
      <c r="E25" s="45" t="s">
        <v>2</v>
      </c>
      <c r="F25" s="44" t="s">
        <v>3</v>
      </c>
      <c r="H25" s="46" t="s">
        <v>60</v>
      </c>
    </row>
    <row r="26" spans="1:10" x14ac:dyDescent="0.25">
      <c r="A26" s="13"/>
      <c r="B26" s="8" t="s">
        <v>6</v>
      </c>
      <c r="C26" s="8" t="s">
        <v>11</v>
      </c>
      <c r="D26" s="8" t="s">
        <v>12</v>
      </c>
      <c r="E26" s="8" t="s">
        <v>13</v>
      </c>
      <c r="F26" s="3" t="s">
        <v>191</v>
      </c>
    </row>
    <row r="27" spans="1:10" x14ac:dyDescent="0.25">
      <c r="A27" s="13"/>
      <c r="B27" s="8" t="s">
        <v>39</v>
      </c>
      <c r="C27" s="8" t="s">
        <v>227</v>
      </c>
      <c r="D27" s="8" t="s">
        <v>228</v>
      </c>
      <c r="E27" s="8" t="s">
        <v>190</v>
      </c>
      <c r="F27" s="3" t="s">
        <v>54</v>
      </c>
    </row>
    <row r="28" spans="1:10" ht="15.75" thickBot="1" x14ac:dyDescent="0.3">
      <c r="A28" s="13"/>
      <c r="B28" s="8" t="s">
        <v>40</v>
      </c>
      <c r="C28" s="8" t="s">
        <v>104</v>
      </c>
      <c r="D28" s="8" t="s">
        <v>330</v>
      </c>
      <c r="E28" s="8" t="s">
        <v>68</v>
      </c>
      <c r="F28" s="3" t="s">
        <v>22</v>
      </c>
    </row>
    <row r="29" spans="1:10" ht="15.75" thickBot="1" x14ac:dyDescent="0.3">
      <c r="A29" s="23"/>
      <c r="B29" s="28" t="s">
        <v>226</v>
      </c>
      <c r="C29" s="29" t="s">
        <v>82</v>
      </c>
      <c r="D29" s="29" t="s">
        <v>279</v>
      </c>
      <c r="E29" s="29" t="s">
        <v>78</v>
      </c>
      <c r="F29" s="30" t="s">
        <v>332</v>
      </c>
    </row>
    <row r="30" spans="1:10" ht="15.75" thickBot="1" x14ac:dyDescent="0.3">
      <c r="A30" s="23"/>
      <c r="B30" s="4"/>
      <c r="C30" s="9"/>
      <c r="D30" s="9"/>
      <c r="E30" s="9"/>
      <c r="F30" s="52"/>
    </row>
    <row r="31" spans="1:10" ht="15.75" thickBot="1" x14ac:dyDescent="0.3">
      <c r="A31" s="47" t="s">
        <v>281</v>
      </c>
      <c r="B31" s="40" t="s">
        <v>0</v>
      </c>
      <c r="C31" s="41" t="s">
        <v>1</v>
      </c>
      <c r="D31" s="43" t="s">
        <v>73</v>
      </c>
      <c r="E31" s="45" t="s">
        <v>2</v>
      </c>
      <c r="F31" s="44" t="s">
        <v>3</v>
      </c>
      <c r="H31" s="46" t="s">
        <v>60</v>
      </c>
      <c r="J31" t="s">
        <v>291</v>
      </c>
    </row>
    <row r="32" spans="1:10" x14ac:dyDescent="0.25">
      <c r="A32" s="13"/>
      <c r="B32" s="8" t="s">
        <v>6</v>
      </c>
      <c r="C32" s="8" t="s">
        <v>11</v>
      </c>
      <c r="D32" s="8" t="s">
        <v>12</v>
      </c>
      <c r="E32" s="8" t="s">
        <v>13</v>
      </c>
      <c r="F32" s="3" t="s">
        <v>14</v>
      </c>
    </row>
    <row r="33" spans="1:9" x14ac:dyDescent="0.25">
      <c r="A33" s="13"/>
      <c r="B33" s="8" t="s">
        <v>39</v>
      </c>
      <c r="C33" s="8" t="s">
        <v>186</v>
      </c>
      <c r="D33" s="8" t="s">
        <v>16</v>
      </c>
      <c r="E33" s="8" t="s">
        <v>289</v>
      </c>
      <c r="F33" s="3" t="s">
        <v>18</v>
      </c>
    </row>
    <row r="34" spans="1:9" ht="15.75" thickBot="1" x14ac:dyDescent="0.3">
      <c r="A34" s="13"/>
      <c r="B34" s="8" t="s">
        <v>40</v>
      </c>
      <c r="C34" s="8" t="s">
        <v>187</v>
      </c>
      <c r="D34" s="8" t="s">
        <v>331</v>
      </c>
      <c r="E34" s="8" t="s">
        <v>290</v>
      </c>
      <c r="F34" s="3" t="s">
        <v>22</v>
      </c>
    </row>
    <row r="35" spans="1:9" ht="15.75" thickBot="1" x14ac:dyDescent="0.3">
      <c r="A35" s="23"/>
      <c r="B35" s="28" t="s">
        <v>283</v>
      </c>
      <c r="C35" s="29" t="s">
        <v>193</v>
      </c>
      <c r="D35" s="29" t="s">
        <v>278</v>
      </c>
      <c r="E35" s="29" t="s">
        <v>280</v>
      </c>
      <c r="F35" s="30" t="s">
        <v>282</v>
      </c>
    </row>
    <row r="36" spans="1:9" ht="15.75" thickBot="1" x14ac:dyDescent="0.3">
      <c r="A36" s="14"/>
      <c r="B36" s="14"/>
      <c r="C36" s="14"/>
      <c r="D36" s="14"/>
      <c r="E36" s="14"/>
      <c r="F36" s="15"/>
    </row>
    <row r="37" spans="1:9" ht="15.75" thickBot="1" x14ac:dyDescent="0.3">
      <c r="A37" s="16" t="s">
        <v>57</v>
      </c>
      <c r="B37" s="7" t="s">
        <v>0</v>
      </c>
      <c r="C37" s="7" t="s">
        <v>1</v>
      </c>
      <c r="D37" s="7" t="s">
        <v>73</v>
      </c>
      <c r="E37" s="7" t="s">
        <v>2</v>
      </c>
      <c r="F37" s="2" t="s">
        <v>3</v>
      </c>
      <c r="H37" t="s">
        <v>61</v>
      </c>
    </row>
    <row r="38" spans="1:9" x14ac:dyDescent="0.25">
      <c r="A38" s="13"/>
      <c r="B38" s="8" t="s">
        <v>6</v>
      </c>
      <c r="C38" s="8" t="s">
        <v>11</v>
      </c>
      <c r="D38" s="8" t="s">
        <v>12</v>
      </c>
      <c r="E38" s="8" t="s">
        <v>13</v>
      </c>
      <c r="F38" s="3" t="s">
        <v>14</v>
      </c>
    </row>
    <row r="39" spans="1:9" x14ac:dyDescent="0.25">
      <c r="A39" s="13"/>
      <c r="B39" s="8" t="s">
        <v>4</v>
      </c>
      <c r="C39" s="8" t="s">
        <v>15</v>
      </c>
      <c r="D39" s="8" t="s">
        <v>16</v>
      </c>
      <c r="E39" s="8" t="s">
        <v>17</v>
      </c>
      <c r="F39" s="3" t="s">
        <v>18</v>
      </c>
    </row>
    <row r="40" spans="1:9" x14ac:dyDescent="0.25">
      <c r="A40" s="13"/>
      <c r="B40" s="8" t="s">
        <v>7</v>
      </c>
      <c r="C40" s="8" t="s">
        <v>19</v>
      </c>
      <c r="D40" s="8" t="s">
        <v>20</v>
      </c>
      <c r="E40" s="8" t="s">
        <v>21</v>
      </c>
      <c r="F40" s="3" t="s">
        <v>22</v>
      </c>
    </row>
    <row r="41" spans="1:9" ht="15.75" thickBot="1" x14ac:dyDescent="0.3">
      <c r="A41" s="13"/>
      <c r="B41" s="8"/>
      <c r="C41" s="8"/>
      <c r="D41" s="8"/>
      <c r="E41" s="8"/>
      <c r="F41" s="3"/>
    </row>
    <row r="42" spans="1:9" ht="15.75" thickBot="1" x14ac:dyDescent="0.3">
      <c r="A42" s="31"/>
      <c r="B42" s="32"/>
      <c r="C42" s="16"/>
      <c r="D42" s="16"/>
      <c r="E42" s="16"/>
      <c r="F42" s="33"/>
    </row>
    <row r="43" spans="1:9" ht="15.75" thickBot="1" x14ac:dyDescent="0.3"/>
    <row r="44" spans="1:9" ht="15.75" thickBot="1" x14ac:dyDescent="0.3">
      <c r="A44" s="16" t="s">
        <v>171</v>
      </c>
      <c r="B44" s="17" t="s">
        <v>0</v>
      </c>
      <c r="C44" s="18" t="s">
        <v>1</v>
      </c>
      <c r="D44" s="19" t="s">
        <v>73</v>
      </c>
      <c r="E44" s="40" t="s">
        <v>2</v>
      </c>
      <c r="F44" s="44" t="s">
        <v>3</v>
      </c>
      <c r="H44" t="s">
        <v>285</v>
      </c>
      <c r="I44" t="s">
        <v>172</v>
      </c>
    </row>
    <row r="45" spans="1:9" x14ac:dyDescent="0.25">
      <c r="A45" s="13"/>
      <c r="B45" s="8" t="s">
        <v>38</v>
      </c>
      <c r="C45" s="8" t="s">
        <v>97</v>
      </c>
      <c r="D45" s="8" t="s">
        <v>12</v>
      </c>
      <c r="E45" s="8" t="s">
        <v>49</v>
      </c>
      <c r="F45" s="8" t="s">
        <v>173</v>
      </c>
      <c r="I45" s="37" t="s">
        <v>176</v>
      </c>
    </row>
    <row r="46" spans="1:9" x14ac:dyDescent="0.25">
      <c r="A46" s="13"/>
      <c r="B46" s="8" t="s">
        <v>39</v>
      </c>
      <c r="C46" s="8" t="s">
        <v>98</v>
      </c>
      <c r="D46" s="8" t="s">
        <v>48</v>
      </c>
      <c r="E46" s="8" t="s">
        <v>50</v>
      </c>
      <c r="F46" s="8" t="s">
        <v>174</v>
      </c>
    </row>
    <row r="47" spans="1:9" ht="15.75" thickBot="1" x14ac:dyDescent="0.3">
      <c r="A47" s="13"/>
      <c r="B47" s="8" t="s">
        <v>40</v>
      </c>
      <c r="C47" s="8" t="s">
        <v>99</v>
      </c>
      <c r="D47" s="8" t="s">
        <v>20</v>
      </c>
      <c r="E47" s="8" t="s">
        <v>51</v>
      </c>
      <c r="F47" s="8" t="s">
        <v>239</v>
      </c>
    </row>
    <row r="48" spans="1:9" ht="15.75" thickBot="1" x14ac:dyDescent="0.3">
      <c r="A48" s="23"/>
      <c r="B48" s="24" t="s">
        <v>192</v>
      </c>
      <c r="C48" s="25" t="s">
        <v>193</v>
      </c>
      <c r="D48" s="25" t="s">
        <v>175</v>
      </c>
      <c r="E48" s="25" t="s">
        <v>75</v>
      </c>
      <c r="F48" s="27" t="s">
        <v>179</v>
      </c>
    </row>
    <row r="49" spans="1:8" ht="15.75" thickBot="1" x14ac:dyDescent="0.3">
      <c r="A49" s="14"/>
      <c r="B49" s="14"/>
      <c r="C49" s="14"/>
      <c r="D49" s="14"/>
      <c r="E49" s="14"/>
      <c r="F49" s="15"/>
    </row>
    <row r="51" spans="1:8" x14ac:dyDescent="0.25">
      <c r="H51" t="s">
        <v>284</v>
      </c>
    </row>
    <row r="52" spans="1:8" x14ac:dyDescent="0.25">
      <c r="H52" t="s">
        <v>286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14566-246B-4FF0-91DE-71F9BFAD0277}">
  <sheetPr>
    <tabColor theme="4" tint="0.39997558519241921"/>
  </sheetPr>
  <dimension ref="B1:J29"/>
  <sheetViews>
    <sheetView workbookViewId="0">
      <selection activeCell="K13" sqref="K13"/>
    </sheetView>
  </sheetViews>
  <sheetFormatPr defaultRowHeight="15" x14ac:dyDescent="0.25"/>
  <cols>
    <col min="2" max="2" width="16.28515625" bestFit="1" customWidth="1"/>
    <col min="3" max="3" width="15.28515625" bestFit="1" customWidth="1"/>
    <col min="5" max="5" width="15.42578125" bestFit="1" customWidth="1"/>
    <col min="8" max="8" width="16.7109375" bestFit="1" customWidth="1"/>
    <col min="10" max="10" width="38.42578125" bestFit="1" customWidth="1"/>
    <col min="11" max="11" width="18.140625" bestFit="1" customWidth="1"/>
  </cols>
  <sheetData>
    <row r="1" spans="2:10" x14ac:dyDescent="0.25">
      <c r="B1" t="s">
        <v>108</v>
      </c>
      <c r="C1" t="s">
        <v>110</v>
      </c>
      <c r="E1" t="s">
        <v>117</v>
      </c>
      <c r="F1" t="s">
        <v>135</v>
      </c>
      <c r="J1" t="s">
        <v>213</v>
      </c>
    </row>
    <row r="2" spans="2:10" x14ac:dyDescent="0.25">
      <c r="B2" t="s">
        <v>109</v>
      </c>
      <c r="C2">
        <v>2</v>
      </c>
      <c r="E2" t="s">
        <v>113</v>
      </c>
      <c r="F2">
        <v>2</v>
      </c>
      <c r="J2" s="39" t="s">
        <v>214</v>
      </c>
    </row>
    <row r="3" spans="2:10" x14ac:dyDescent="0.25">
      <c r="B3" t="s">
        <v>113</v>
      </c>
      <c r="C3">
        <v>2</v>
      </c>
      <c r="E3" t="s">
        <v>121</v>
      </c>
      <c r="F3">
        <v>2</v>
      </c>
      <c r="J3" s="39" t="s">
        <v>112</v>
      </c>
    </row>
    <row r="4" spans="2:10" x14ac:dyDescent="0.25">
      <c r="B4" t="s">
        <v>111</v>
      </c>
      <c r="C4">
        <v>2</v>
      </c>
      <c r="E4" s="38" t="s">
        <v>122</v>
      </c>
      <c r="F4">
        <v>2</v>
      </c>
      <c r="J4" s="39" t="s">
        <v>124</v>
      </c>
    </row>
    <row r="5" spans="2:10" x14ac:dyDescent="0.25">
      <c r="B5" t="s">
        <v>112</v>
      </c>
      <c r="C5">
        <v>2</v>
      </c>
      <c r="E5" s="38" t="s">
        <v>123</v>
      </c>
      <c r="F5">
        <v>2</v>
      </c>
      <c r="J5" s="39" t="s">
        <v>121</v>
      </c>
    </row>
    <row r="6" spans="2:10" x14ac:dyDescent="0.25">
      <c r="B6" t="s">
        <v>114</v>
      </c>
      <c r="C6">
        <v>2</v>
      </c>
      <c r="E6" t="s">
        <v>112</v>
      </c>
      <c r="F6">
        <v>2</v>
      </c>
      <c r="J6" s="39" t="s">
        <v>215</v>
      </c>
    </row>
    <row r="7" spans="2:10" x14ac:dyDescent="0.25">
      <c r="B7" t="s">
        <v>115</v>
      </c>
      <c r="C7">
        <v>2</v>
      </c>
      <c r="E7" t="s">
        <v>124</v>
      </c>
      <c r="F7">
        <v>2</v>
      </c>
      <c r="J7" s="39" t="s">
        <v>216</v>
      </c>
    </row>
    <row r="8" spans="2:10" x14ac:dyDescent="0.25">
      <c r="B8" t="s">
        <v>116</v>
      </c>
      <c r="C8">
        <v>2</v>
      </c>
      <c r="E8" t="s">
        <v>137</v>
      </c>
      <c r="F8">
        <v>2</v>
      </c>
      <c r="J8" s="39" t="s">
        <v>217</v>
      </c>
    </row>
    <row r="9" spans="2:10" x14ac:dyDescent="0.25">
      <c r="B9" t="s">
        <v>118</v>
      </c>
      <c r="C9">
        <v>2</v>
      </c>
      <c r="E9" s="38" t="s">
        <v>125</v>
      </c>
      <c r="F9" s="38">
        <v>2</v>
      </c>
      <c r="J9" s="39" t="s">
        <v>219</v>
      </c>
    </row>
    <row r="10" spans="2:10" x14ac:dyDescent="0.25">
      <c r="B10" t="s">
        <v>119</v>
      </c>
      <c r="C10">
        <v>2</v>
      </c>
      <c r="E10" t="s">
        <v>126</v>
      </c>
      <c r="F10">
        <v>2</v>
      </c>
      <c r="J10" s="39" t="s">
        <v>220</v>
      </c>
    </row>
    <row r="11" spans="2:10" x14ac:dyDescent="0.25">
      <c r="B11" t="s">
        <v>120</v>
      </c>
      <c r="C11">
        <v>2</v>
      </c>
      <c r="E11" s="38" t="s">
        <v>127</v>
      </c>
      <c r="F11" s="38">
        <v>2</v>
      </c>
      <c r="J11" t="s">
        <v>218</v>
      </c>
    </row>
    <row r="12" spans="2:10" x14ac:dyDescent="0.25">
      <c r="E12" t="s">
        <v>142</v>
      </c>
      <c r="F12">
        <v>2</v>
      </c>
      <c r="J12" t="s">
        <v>212</v>
      </c>
    </row>
    <row r="13" spans="2:10" x14ac:dyDescent="0.25">
      <c r="E13" s="38" t="s">
        <v>138</v>
      </c>
      <c r="F13">
        <v>2</v>
      </c>
    </row>
    <row r="14" spans="2:10" x14ac:dyDescent="0.25">
      <c r="J14" t="s">
        <v>222</v>
      </c>
    </row>
    <row r="15" spans="2:10" x14ac:dyDescent="0.25">
      <c r="E15" t="s">
        <v>136</v>
      </c>
      <c r="F15">
        <f>SUM(F2:F14)</f>
        <v>24</v>
      </c>
    </row>
    <row r="21" spans="5:8" x14ac:dyDescent="0.25">
      <c r="F21" t="s">
        <v>133</v>
      </c>
      <c r="G21" t="s">
        <v>132</v>
      </c>
      <c r="H21" t="s">
        <v>134</v>
      </c>
    </row>
    <row r="22" spans="5:8" x14ac:dyDescent="0.25">
      <c r="E22" t="s">
        <v>131</v>
      </c>
      <c r="F22">
        <v>6</v>
      </c>
      <c r="G22">
        <v>4</v>
      </c>
      <c r="H22">
        <f>F22+G22</f>
        <v>10</v>
      </c>
    </row>
    <row r="23" spans="5:8" x14ac:dyDescent="0.25">
      <c r="E23" t="s">
        <v>128</v>
      </c>
      <c r="F23">
        <v>12</v>
      </c>
      <c r="G23">
        <v>4</v>
      </c>
      <c r="H23">
        <f t="shared" ref="H23:H25" si="0">F23+G23</f>
        <v>16</v>
      </c>
    </row>
    <row r="24" spans="5:8" x14ac:dyDescent="0.25">
      <c r="E24" t="s">
        <v>129</v>
      </c>
      <c r="F24">
        <v>18</v>
      </c>
      <c r="G24">
        <v>4</v>
      </c>
      <c r="H24">
        <f t="shared" si="0"/>
        <v>22</v>
      </c>
    </row>
    <row r="25" spans="5:8" x14ac:dyDescent="0.25">
      <c r="E25" t="s">
        <v>130</v>
      </c>
      <c r="F25">
        <v>24</v>
      </c>
      <c r="G25">
        <v>4</v>
      </c>
      <c r="H25">
        <f t="shared" si="0"/>
        <v>28</v>
      </c>
    </row>
    <row r="28" spans="5:8" x14ac:dyDescent="0.25">
      <c r="E28" t="s">
        <v>139</v>
      </c>
      <c r="F28" t="s">
        <v>141</v>
      </c>
    </row>
    <row r="29" spans="5:8" x14ac:dyDescent="0.25">
      <c r="E29" t="s">
        <v>143</v>
      </c>
      <c r="F29" t="s">
        <v>141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483BA-2F53-4D16-B076-DB8BD28B0FD4}">
  <sheetPr>
    <tabColor rgb="FFFF0000"/>
  </sheetPr>
  <dimension ref="A2:C29"/>
  <sheetViews>
    <sheetView workbookViewId="0">
      <selection activeCell="G10" sqref="G10"/>
    </sheetView>
  </sheetViews>
  <sheetFormatPr defaultRowHeight="15" x14ac:dyDescent="0.25"/>
  <cols>
    <col min="2" max="2" width="77" customWidth="1"/>
    <col min="3" max="3" width="43.5703125" bestFit="1" customWidth="1"/>
  </cols>
  <sheetData>
    <row r="2" spans="1:3" x14ac:dyDescent="0.25">
      <c r="A2">
        <v>1</v>
      </c>
      <c r="B2" t="s">
        <v>210</v>
      </c>
    </row>
    <row r="3" spans="1:3" x14ac:dyDescent="0.25">
      <c r="A3">
        <v>2</v>
      </c>
      <c r="B3" t="s">
        <v>211</v>
      </c>
    </row>
    <row r="4" spans="1:3" x14ac:dyDescent="0.25">
      <c r="A4">
        <v>3</v>
      </c>
      <c r="B4" t="s">
        <v>83</v>
      </c>
    </row>
    <row r="5" spans="1:3" x14ac:dyDescent="0.25">
      <c r="A5">
        <v>4</v>
      </c>
      <c r="B5" t="s">
        <v>201</v>
      </c>
    </row>
    <row r="6" spans="1:3" x14ac:dyDescent="0.25">
      <c r="A6">
        <v>5</v>
      </c>
      <c r="B6" t="s">
        <v>200</v>
      </c>
    </row>
    <row r="7" spans="1:3" x14ac:dyDescent="0.25">
      <c r="A7">
        <v>6</v>
      </c>
      <c r="B7" t="s">
        <v>204</v>
      </c>
    </row>
    <row r="8" spans="1:3" x14ac:dyDescent="0.25">
      <c r="A8">
        <v>7</v>
      </c>
      <c r="B8" t="s">
        <v>206</v>
      </c>
    </row>
    <row r="9" spans="1:3" x14ac:dyDescent="0.25">
      <c r="A9">
        <v>8</v>
      </c>
      <c r="B9" t="s">
        <v>203</v>
      </c>
      <c r="C9" t="s">
        <v>225</v>
      </c>
    </row>
    <row r="10" spans="1:3" x14ac:dyDescent="0.25">
      <c r="A10">
        <v>9</v>
      </c>
      <c r="B10" t="s">
        <v>95</v>
      </c>
    </row>
    <row r="11" spans="1:3" x14ac:dyDescent="0.25">
      <c r="A11">
        <v>10</v>
      </c>
      <c r="B11" t="s">
        <v>96</v>
      </c>
      <c r="C11" t="s">
        <v>207</v>
      </c>
    </row>
    <row r="12" spans="1:3" x14ac:dyDescent="0.25">
      <c r="A12">
        <v>11</v>
      </c>
      <c r="B12" t="s">
        <v>208</v>
      </c>
    </row>
    <row r="13" spans="1:3" x14ac:dyDescent="0.25">
      <c r="A13">
        <v>12</v>
      </c>
      <c r="B13" t="s">
        <v>202</v>
      </c>
      <c r="C13" t="s">
        <v>223</v>
      </c>
    </row>
    <row r="14" spans="1:3" x14ac:dyDescent="0.25">
      <c r="A14">
        <v>13</v>
      </c>
      <c r="B14" t="s">
        <v>86</v>
      </c>
    </row>
    <row r="15" spans="1:3" x14ac:dyDescent="0.25">
      <c r="A15">
        <v>14</v>
      </c>
      <c r="B15" t="s">
        <v>85</v>
      </c>
    </row>
    <row r="16" spans="1:3" x14ac:dyDescent="0.25">
      <c r="A16">
        <v>15</v>
      </c>
      <c r="B16" t="s">
        <v>88</v>
      </c>
    </row>
    <row r="17" spans="1:3" x14ac:dyDescent="0.25">
      <c r="A17">
        <v>16</v>
      </c>
      <c r="B17" t="s">
        <v>93</v>
      </c>
    </row>
    <row r="18" spans="1:3" x14ac:dyDescent="0.25">
      <c r="A18">
        <v>17</v>
      </c>
      <c r="B18" t="s">
        <v>209</v>
      </c>
    </row>
    <row r="19" spans="1:3" x14ac:dyDescent="0.25">
      <c r="A19">
        <v>18</v>
      </c>
      <c r="B19" t="s">
        <v>87</v>
      </c>
    </row>
    <row r="20" spans="1:3" x14ac:dyDescent="0.25">
      <c r="A20">
        <v>19</v>
      </c>
      <c r="B20" t="s">
        <v>221</v>
      </c>
    </row>
    <row r="21" spans="1:3" x14ac:dyDescent="0.25">
      <c r="A21">
        <v>20</v>
      </c>
      <c r="B21" t="s">
        <v>224</v>
      </c>
    </row>
    <row r="23" spans="1:3" x14ac:dyDescent="0.25">
      <c r="B23" t="s">
        <v>205</v>
      </c>
      <c r="C23" t="s">
        <v>81</v>
      </c>
    </row>
    <row r="24" spans="1:3" x14ac:dyDescent="0.25">
      <c r="B24" t="s">
        <v>92</v>
      </c>
      <c r="C24" t="s">
        <v>81</v>
      </c>
    </row>
    <row r="25" spans="1:3" x14ac:dyDescent="0.25">
      <c r="B25" t="s">
        <v>91</v>
      </c>
      <c r="C25" t="s">
        <v>81</v>
      </c>
    </row>
    <row r="26" spans="1:3" x14ac:dyDescent="0.25">
      <c r="B26" t="s">
        <v>84</v>
      </c>
      <c r="C26" t="s">
        <v>81</v>
      </c>
    </row>
    <row r="27" spans="1:3" x14ac:dyDescent="0.25">
      <c r="B27" t="s">
        <v>89</v>
      </c>
      <c r="C27" t="s">
        <v>81</v>
      </c>
    </row>
    <row r="28" spans="1:3" x14ac:dyDescent="0.25">
      <c r="B28" t="s">
        <v>90</v>
      </c>
      <c r="C28" t="s">
        <v>81</v>
      </c>
    </row>
    <row r="29" spans="1:3" x14ac:dyDescent="0.25">
      <c r="B29" t="s">
        <v>94</v>
      </c>
      <c r="C29"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886C3-8812-425E-B3EF-9441B4567C36}">
  <dimension ref="A1:I30"/>
  <sheetViews>
    <sheetView workbookViewId="0">
      <pane ySplit="1" topLeftCell="A2" activePane="bottomLeft" state="frozen"/>
      <selection pane="bottomLeft" activeCell="I29" sqref="I29"/>
    </sheetView>
  </sheetViews>
  <sheetFormatPr defaultRowHeight="15" x14ac:dyDescent="0.25"/>
  <cols>
    <col min="1" max="2" width="12" customWidth="1"/>
    <col min="3" max="3" width="10" customWidth="1"/>
    <col min="4" max="4" width="11.85546875" bestFit="1" customWidth="1"/>
    <col min="6" max="6" width="7.7109375" bestFit="1" customWidth="1"/>
    <col min="7" max="7" width="28.7109375" bestFit="1" customWidth="1"/>
    <col min="8" max="8" width="13.5703125" bestFit="1" customWidth="1"/>
    <col min="9" max="9" width="149.85546875" bestFit="1" customWidth="1"/>
  </cols>
  <sheetData>
    <row r="1" spans="1:9" ht="15.75" thickBot="1" x14ac:dyDescent="0.3">
      <c r="A1" s="53" t="s">
        <v>295</v>
      </c>
      <c r="B1" s="53" t="s">
        <v>323</v>
      </c>
      <c r="C1" s="53" t="s">
        <v>296</v>
      </c>
      <c r="D1" s="53" t="s">
        <v>297</v>
      </c>
      <c r="E1" s="53" t="s">
        <v>298</v>
      </c>
      <c r="F1" s="53" t="s">
        <v>299</v>
      </c>
      <c r="G1" s="53" t="s">
        <v>300</v>
      </c>
      <c r="H1" s="53" t="s">
        <v>301</v>
      </c>
      <c r="I1" s="53" t="s">
        <v>302</v>
      </c>
    </row>
    <row r="2" spans="1:9" x14ac:dyDescent="0.25">
      <c r="A2" s="54">
        <v>45984</v>
      </c>
      <c r="B2" s="54" t="s">
        <v>246</v>
      </c>
      <c r="C2" t="s">
        <v>303</v>
      </c>
      <c r="D2" s="56" t="s">
        <v>304</v>
      </c>
      <c r="E2" t="s">
        <v>305</v>
      </c>
      <c r="F2">
        <v>17</v>
      </c>
      <c r="G2" t="s">
        <v>306</v>
      </c>
      <c r="H2" t="s">
        <v>307</v>
      </c>
      <c r="I2" t="s">
        <v>308</v>
      </c>
    </row>
    <row r="3" spans="1:9" x14ac:dyDescent="0.25">
      <c r="A3" s="54">
        <v>45984</v>
      </c>
      <c r="B3" s="54" t="s">
        <v>246</v>
      </c>
      <c r="C3" t="s">
        <v>303</v>
      </c>
      <c r="D3" s="56" t="s">
        <v>304</v>
      </c>
      <c r="E3" t="s">
        <v>305</v>
      </c>
      <c r="F3">
        <v>17</v>
      </c>
      <c r="G3" s="49" t="s">
        <v>309</v>
      </c>
      <c r="H3" t="s">
        <v>307</v>
      </c>
      <c r="I3" t="s">
        <v>310</v>
      </c>
    </row>
    <row r="4" spans="1:9" x14ac:dyDescent="0.25">
      <c r="A4" s="54">
        <v>45985</v>
      </c>
      <c r="B4" s="54" t="s">
        <v>246</v>
      </c>
      <c r="C4" t="s">
        <v>303</v>
      </c>
      <c r="D4" s="56" t="s">
        <v>304</v>
      </c>
      <c r="E4" t="s">
        <v>305</v>
      </c>
      <c r="F4">
        <v>19</v>
      </c>
      <c r="G4" t="s">
        <v>309</v>
      </c>
      <c r="H4" t="s">
        <v>307</v>
      </c>
      <c r="I4" t="s">
        <v>311</v>
      </c>
    </row>
    <row r="5" spans="1:9" x14ac:dyDescent="0.25">
      <c r="A5" s="54">
        <v>45985</v>
      </c>
      <c r="B5" s="54" t="s">
        <v>246</v>
      </c>
      <c r="C5" t="s">
        <v>303</v>
      </c>
      <c r="D5" s="56" t="s">
        <v>304</v>
      </c>
      <c r="E5" t="s">
        <v>305</v>
      </c>
      <c r="F5">
        <v>18</v>
      </c>
      <c r="G5" t="s">
        <v>312</v>
      </c>
      <c r="H5" t="s">
        <v>307</v>
      </c>
      <c r="I5" t="s">
        <v>313</v>
      </c>
    </row>
    <row r="6" spans="1:9" x14ac:dyDescent="0.25">
      <c r="A6" s="54">
        <v>45985</v>
      </c>
      <c r="B6" s="54" t="s">
        <v>246</v>
      </c>
      <c r="C6" t="s">
        <v>303</v>
      </c>
      <c r="D6" s="56" t="s">
        <v>304</v>
      </c>
      <c r="E6" t="s">
        <v>314</v>
      </c>
      <c r="F6">
        <v>19</v>
      </c>
      <c r="G6" t="s">
        <v>315</v>
      </c>
      <c r="H6" t="s">
        <v>307</v>
      </c>
    </row>
    <row r="7" spans="1:9" x14ac:dyDescent="0.25">
      <c r="A7" s="54">
        <v>45985</v>
      </c>
      <c r="B7" s="54" t="s">
        <v>246</v>
      </c>
      <c r="C7" t="s">
        <v>303</v>
      </c>
      <c r="D7" s="56" t="s">
        <v>304</v>
      </c>
      <c r="E7" t="s">
        <v>305</v>
      </c>
      <c r="F7">
        <v>17</v>
      </c>
      <c r="G7" t="s">
        <v>316</v>
      </c>
      <c r="H7" t="s">
        <v>307</v>
      </c>
      <c r="I7" t="s">
        <v>317</v>
      </c>
    </row>
    <row r="8" spans="1:9" x14ac:dyDescent="0.25">
      <c r="A8" s="54"/>
      <c r="B8" s="54"/>
    </row>
    <row r="9" spans="1:9" x14ac:dyDescent="0.25">
      <c r="A9" s="54">
        <v>45986</v>
      </c>
      <c r="B9" s="54" t="s">
        <v>246</v>
      </c>
      <c r="C9" t="s">
        <v>303</v>
      </c>
      <c r="D9" s="57" t="s">
        <v>34</v>
      </c>
      <c r="E9" t="s">
        <v>305</v>
      </c>
      <c r="F9">
        <v>17</v>
      </c>
      <c r="G9" s="49" t="s">
        <v>309</v>
      </c>
      <c r="H9" t="s">
        <v>318</v>
      </c>
      <c r="I9" t="s">
        <v>319</v>
      </c>
    </row>
    <row r="10" spans="1:9" x14ac:dyDescent="0.25">
      <c r="A10" s="54">
        <v>45986</v>
      </c>
      <c r="B10" s="54" t="s">
        <v>246</v>
      </c>
      <c r="C10" t="s">
        <v>303</v>
      </c>
      <c r="D10" s="57" t="s">
        <v>34</v>
      </c>
      <c r="E10" t="s">
        <v>305</v>
      </c>
      <c r="F10">
        <v>14</v>
      </c>
      <c r="G10" t="s">
        <v>306</v>
      </c>
      <c r="H10" t="s">
        <v>318</v>
      </c>
      <c r="I10" s="55" t="s">
        <v>339</v>
      </c>
    </row>
    <row r="11" spans="1:9" x14ac:dyDescent="0.25">
      <c r="A11" s="54">
        <v>45986</v>
      </c>
      <c r="B11" s="54" t="s">
        <v>246</v>
      </c>
      <c r="C11" t="s">
        <v>303</v>
      </c>
      <c r="D11" s="57" t="s">
        <v>320</v>
      </c>
      <c r="E11" t="s">
        <v>314</v>
      </c>
      <c r="F11">
        <v>16</v>
      </c>
      <c r="G11" t="s">
        <v>309</v>
      </c>
      <c r="H11" t="s">
        <v>307</v>
      </c>
      <c r="I11" t="s">
        <v>321</v>
      </c>
    </row>
    <row r="12" spans="1:9" x14ac:dyDescent="0.25">
      <c r="A12" s="54">
        <v>45986</v>
      </c>
      <c r="B12" s="54" t="s">
        <v>246</v>
      </c>
      <c r="C12" t="s">
        <v>303</v>
      </c>
      <c r="D12" s="57" t="s">
        <v>320</v>
      </c>
      <c r="E12" t="s">
        <v>305</v>
      </c>
      <c r="F12">
        <v>18</v>
      </c>
      <c r="G12" t="s">
        <v>306</v>
      </c>
      <c r="H12" t="s">
        <v>307</v>
      </c>
    </row>
    <row r="13" spans="1:9" x14ac:dyDescent="0.25">
      <c r="A13" s="54">
        <v>45987</v>
      </c>
      <c r="B13" s="54" t="s">
        <v>246</v>
      </c>
      <c r="C13" t="s">
        <v>303</v>
      </c>
      <c r="D13" s="57" t="s">
        <v>320</v>
      </c>
      <c r="E13" t="s">
        <v>305</v>
      </c>
      <c r="F13">
        <v>17</v>
      </c>
      <c r="G13" t="s">
        <v>322</v>
      </c>
      <c r="H13" t="s">
        <v>318</v>
      </c>
      <c r="I13" t="s">
        <v>324</v>
      </c>
    </row>
    <row r="14" spans="1:9" x14ac:dyDescent="0.25">
      <c r="A14" s="54">
        <v>45987</v>
      </c>
      <c r="B14" s="54" t="s">
        <v>246</v>
      </c>
      <c r="C14" t="s">
        <v>303</v>
      </c>
      <c r="D14" s="57" t="s">
        <v>320</v>
      </c>
      <c r="E14" t="s">
        <v>305</v>
      </c>
      <c r="F14">
        <v>17</v>
      </c>
      <c r="G14" t="s">
        <v>325</v>
      </c>
      <c r="H14" t="s">
        <v>307</v>
      </c>
      <c r="I14" t="s">
        <v>326</v>
      </c>
    </row>
    <row r="15" spans="1:9" x14ac:dyDescent="0.25">
      <c r="A15" s="54">
        <v>45988</v>
      </c>
      <c r="B15" s="54" t="s">
        <v>246</v>
      </c>
      <c r="C15" t="s">
        <v>303</v>
      </c>
      <c r="D15" s="57" t="s">
        <v>320</v>
      </c>
      <c r="E15" t="s">
        <v>305</v>
      </c>
      <c r="F15">
        <v>18</v>
      </c>
      <c r="G15" t="s">
        <v>337</v>
      </c>
      <c r="H15" t="s">
        <v>307</v>
      </c>
      <c r="I15" t="s">
        <v>338</v>
      </c>
    </row>
    <row r="16" spans="1:9" x14ac:dyDescent="0.25">
      <c r="A16" s="54">
        <v>45988</v>
      </c>
      <c r="B16" s="54" t="s">
        <v>246</v>
      </c>
      <c r="C16" t="s">
        <v>303</v>
      </c>
      <c r="D16" s="57" t="s">
        <v>320</v>
      </c>
      <c r="E16" t="s">
        <v>305</v>
      </c>
      <c r="F16">
        <v>18</v>
      </c>
      <c r="G16" t="s">
        <v>340</v>
      </c>
      <c r="H16" t="s">
        <v>307</v>
      </c>
      <c r="I16" t="s">
        <v>341</v>
      </c>
    </row>
    <row r="17" spans="1:9" x14ac:dyDescent="0.25">
      <c r="D17" s="57"/>
      <c r="I17" s="55" t="s">
        <v>342</v>
      </c>
    </row>
    <row r="18" spans="1:9" x14ac:dyDescent="0.25">
      <c r="A18" s="54">
        <v>45989</v>
      </c>
      <c r="B18" s="54" t="s">
        <v>246</v>
      </c>
      <c r="C18" t="s">
        <v>303</v>
      </c>
      <c r="D18" s="57" t="s">
        <v>343</v>
      </c>
      <c r="E18" t="s">
        <v>314</v>
      </c>
      <c r="F18">
        <v>19</v>
      </c>
      <c r="G18" t="s">
        <v>344</v>
      </c>
      <c r="H18" t="s">
        <v>307</v>
      </c>
      <c r="I18" t="s">
        <v>357</v>
      </c>
    </row>
    <row r="19" spans="1:9" x14ac:dyDescent="0.25">
      <c r="A19" s="54">
        <v>45989</v>
      </c>
      <c r="B19" s="54" t="s">
        <v>246</v>
      </c>
      <c r="C19" t="s">
        <v>303</v>
      </c>
      <c r="D19" s="57" t="s">
        <v>343</v>
      </c>
      <c r="E19" t="s">
        <v>305</v>
      </c>
      <c r="F19">
        <v>21</v>
      </c>
      <c r="G19" t="s">
        <v>344</v>
      </c>
      <c r="H19" t="s">
        <v>307</v>
      </c>
      <c r="I19" t="s">
        <v>345</v>
      </c>
    </row>
    <row r="21" spans="1:9" x14ac:dyDescent="0.25">
      <c r="A21" s="54">
        <v>45990</v>
      </c>
      <c r="B21" s="54" t="s">
        <v>246</v>
      </c>
      <c r="C21" t="s">
        <v>303</v>
      </c>
      <c r="D21" s="58" t="s">
        <v>33</v>
      </c>
      <c r="E21" t="s">
        <v>305</v>
      </c>
      <c r="F21">
        <v>15</v>
      </c>
      <c r="G21" s="49" t="s">
        <v>309</v>
      </c>
      <c r="H21" t="s">
        <v>307</v>
      </c>
      <c r="I21" t="s">
        <v>347</v>
      </c>
    </row>
    <row r="22" spans="1:9" x14ac:dyDescent="0.25">
      <c r="A22" s="54">
        <v>45990</v>
      </c>
      <c r="B22" s="54" t="s">
        <v>246</v>
      </c>
      <c r="C22" t="s">
        <v>303</v>
      </c>
      <c r="D22" s="58" t="s">
        <v>33</v>
      </c>
      <c r="E22" t="s">
        <v>305</v>
      </c>
      <c r="F22">
        <v>18</v>
      </c>
      <c r="G22" t="s">
        <v>348</v>
      </c>
      <c r="H22" t="s">
        <v>307</v>
      </c>
      <c r="I22" t="s">
        <v>349</v>
      </c>
    </row>
    <row r="23" spans="1:9" x14ac:dyDescent="0.25">
      <c r="A23" s="54">
        <v>45990</v>
      </c>
      <c r="B23" s="54" t="s">
        <v>246</v>
      </c>
      <c r="C23" t="s">
        <v>303</v>
      </c>
      <c r="D23" s="58" t="s">
        <v>33</v>
      </c>
      <c r="E23" t="s">
        <v>351</v>
      </c>
      <c r="F23">
        <v>21</v>
      </c>
      <c r="G23" t="s">
        <v>350</v>
      </c>
      <c r="H23" t="s">
        <v>307</v>
      </c>
      <c r="I23" t="s">
        <v>352</v>
      </c>
    </row>
    <row r="24" spans="1:9" x14ac:dyDescent="0.25">
      <c r="A24" s="54">
        <v>45991</v>
      </c>
      <c r="B24" s="54" t="s">
        <v>246</v>
      </c>
      <c r="C24" t="s">
        <v>303</v>
      </c>
      <c r="D24" s="58" t="s">
        <v>33</v>
      </c>
      <c r="E24" t="s">
        <v>305</v>
      </c>
      <c r="F24">
        <v>19</v>
      </c>
      <c r="G24" t="s">
        <v>353</v>
      </c>
      <c r="H24" t="s">
        <v>307</v>
      </c>
    </row>
    <row r="25" spans="1:9" x14ac:dyDescent="0.25">
      <c r="A25" s="54">
        <v>45991</v>
      </c>
      <c r="B25" s="54" t="s">
        <v>246</v>
      </c>
      <c r="C25" t="s">
        <v>303</v>
      </c>
      <c r="D25" s="58" t="s">
        <v>33</v>
      </c>
      <c r="E25" t="s">
        <v>305</v>
      </c>
      <c r="F25">
        <v>19</v>
      </c>
      <c r="G25" t="s">
        <v>354</v>
      </c>
      <c r="H25" t="s">
        <v>307</v>
      </c>
      <c r="I25" t="s">
        <v>355</v>
      </c>
    </row>
    <row r="27" spans="1:9" x14ac:dyDescent="0.25">
      <c r="A27" s="54">
        <v>45991</v>
      </c>
      <c r="B27" s="54" t="s">
        <v>246</v>
      </c>
      <c r="C27" t="s">
        <v>303</v>
      </c>
      <c r="D27" s="59" t="s">
        <v>35</v>
      </c>
      <c r="E27" t="s">
        <v>305</v>
      </c>
      <c r="F27">
        <v>18</v>
      </c>
      <c r="G27" s="49" t="s">
        <v>309</v>
      </c>
      <c r="H27" t="s">
        <v>307</v>
      </c>
      <c r="I27" t="s">
        <v>356</v>
      </c>
    </row>
    <row r="28" spans="1:9" x14ac:dyDescent="0.25">
      <c r="A28" s="54">
        <v>45992</v>
      </c>
      <c r="B28" s="54" t="s">
        <v>246</v>
      </c>
      <c r="C28" t="s">
        <v>303</v>
      </c>
      <c r="D28" s="59" t="s">
        <v>35</v>
      </c>
      <c r="E28" t="s">
        <v>305</v>
      </c>
      <c r="F28">
        <v>17</v>
      </c>
      <c r="G28" t="s">
        <v>358</v>
      </c>
      <c r="H28" t="s">
        <v>359</v>
      </c>
      <c r="I28" t="s">
        <v>360</v>
      </c>
    </row>
    <row r="29" spans="1:9" x14ac:dyDescent="0.25">
      <c r="A29" s="54">
        <v>45993</v>
      </c>
      <c r="B29" s="54" t="s">
        <v>246</v>
      </c>
      <c r="C29" t="s">
        <v>303</v>
      </c>
      <c r="D29" s="59" t="s">
        <v>361</v>
      </c>
      <c r="E29" t="s">
        <v>314</v>
      </c>
      <c r="F29">
        <v>20</v>
      </c>
      <c r="G29" t="s">
        <v>362</v>
      </c>
      <c r="H29" t="s">
        <v>359</v>
      </c>
      <c r="I29" t="s">
        <v>365</v>
      </c>
    </row>
    <row r="30" spans="1:9" x14ac:dyDescent="0.25">
      <c r="A30" s="54">
        <v>45993</v>
      </c>
      <c r="B30" s="54" t="s">
        <v>246</v>
      </c>
      <c r="C30" t="s">
        <v>303</v>
      </c>
      <c r="D30" s="59" t="s">
        <v>361</v>
      </c>
      <c r="E30" t="s">
        <v>314</v>
      </c>
      <c r="F30">
        <v>22</v>
      </c>
      <c r="G30" t="s">
        <v>363</v>
      </c>
      <c r="H30" t="s">
        <v>359</v>
      </c>
      <c r="I30" t="s">
        <v>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Basic</vt:lpstr>
      <vt:lpstr>Civ</vt:lpstr>
      <vt:lpstr>Temple tokens</vt:lpstr>
      <vt:lpstr>City States</vt:lpstr>
      <vt:lpstr>Log 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Avramov</dc:creator>
  <cp:lastModifiedBy>George Avramov</cp:lastModifiedBy>
  <dcterms:created xsi:type="dcterms:W3CDTF">2025-08-06T13:53:06Z</dcterms:created>
  <dcterms:modified xsi:type="dcterms:W3CDTF">2025-12-02T18:05:30Z</dcterms:modified>
</cp:coreProperties>
</file>